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19320" windowHeight="7935"/>
  </bookViews>
  <sheets>
    <sheet name="JC-327 revise delivery dt 4july" sheetId="21" r:id="rId1"/>
  </sheets>
  <calcPr calcId="125725"/>
</workbook>
</file>

<file path=xl/calcChain.xml><?xml version="1.0" encoding="utf-8"?>
<calcChain xmlns="http://schemas.openxmlformats.org/spreadsheetml/2006/main">
  <c r="M15" i="21"/>
  <c r="M14"/>
  <c r="P13"/>
  <c r="Q13" s="1"/>
  <c r="M13"/>
  <c r="N13" s="1"/>
  <c r="N17" l="1"/>
  <c r="R13"/>
  <c r="R17" s="1"/>
</calcChain>
</file>

<file path=xl/sharedStrings.xml><?xml version="1.0" encoding="utf-8"?>
<sst xmlns="http://schemas.openxmlformats.org/spreadsheetml/2006/main" count="40" uniqueCount="40">
  <si>
    <t>PURCHASE ORDER</t>
  </si>
  <si>
    <t>A  E  R  O     C  L  U  B</t>
  </si>
  <si>
    <t>867, Joshi Road, Karol Bagh, New Delhi</t>
  </si>
  <si>
    <t>Ph. : 41546474, 41546471</t>
  </si>
  <si>
    <t>Fax. : 28755200, 41546479</t>
  </si>
  <si>
    <t>Purchase Order No.</t>
  </si>
  <si>
    <t>Date</t>
  </si>
  <si>
    <t>S.
No.</t>
  </si>
  <si>
    <t>STYLE
NO.</t>
  </si>
  <si>
    <t>DESCRIPTION</t>
  </si>
  <si>
    <t>COLOR</t>
  </si>
  <si>
    <t>Unit</t>
  </si>
  <si>
    <t>Qty</t>
  </si>
  <si>
    <t>Amount</t>
  </si>
  <si>
    <t xml:space="preserve">FOR AERO CLUB </t>
  </si>
  <si>
    <t>AUTHORISED SIGNATORY</t>
  </si>
  <si>
    <t>Delivery Date</t>
  </si>
  <si>
    <t xml:space="preserve">                   RECEIVER'S SIGNATURE </t>
  </si>
  <si>
    <t>PCS</t>
  </si>
  <si>
    <t>VENDOR :</t>
  </si>
  <si>
    <t>SHIPPING ADDRESS</t>
  </si>
  <si>
    <t>HSN CODE</t>
  </si>
  <si>
    <t>TOTAL AMT WITH GST</t>
  </si>
  <si>
    <t>AERO CLUB
BIJWASAN-GARMENTS 328/1
HOLI CHOWK BIJWASAN
NEW DELHI-110061
DELHI-INDIA
GSTIN NO:07AAFFA1530L1ZP</t>
  </si>
  <si>
    <t xml:space="preserve">GOKALDAS EXPORTS
(A DIVISION OF GOKALDAS EXPORTS LTD)
NO 16/2, RESIDENCY ROAD
BANGLAORE-560025
INDIA
TEL NO: 91-80-41272200
FAX: 91-80-22274869/22277497
GSTIN NO:29AACCG0895N1Z0
</t>
  </si>
  <si>
    <t>TOTAL ORDER QTY</t>
  </si>
  <si>
    <t>GST VALUE</t>
  </si>
  <si>
    <t>GRAND TOTAL</t>
  </si>
  <si>
    <t>BLACK</t>
  </si>
  <si>
    <t>RATE
(INR)</t>
  </si>
  <si>
    <t>MEN'S F/S JACKET</t>
  </si>
  <si>
    <t>KHAKI</t>
  </si>
  <si>
    <t>GUNMETAL</t>
  </si>
  <si>
    <t>S</t>
  </si>
  <si>
    <t>M</t>
  </si>
  <si>
    <t>L</t>
  </si>
  <si>
    <t>XL</t>
  </si>
  <si>
    <t>XXL</t>
  </si>
  <si>
    <t>JC-327B</t>
  </si>
  <si>
    <t>Mid August Onwards to End of August 2019
Revise delivery 50% end of Aug 2019 and 50% 10th of Sept 2019</t>
  </si>
</sst>
</file>

<file path=xl/styles.xml><?xml version="1.0" encoding="utf-8"?>
<styleSheet xmlns="http://schemas.openxmlformats.org/spreadsheetml/2006/main">
  <numFmts count="2">
    <numFmt numFmtId="164" formatCode="_ &quot;₹&quot;\ * #,##0.00_ ;_ &quot;₹&quot;\ * \-#,##0.00_ ;_ &quot;₹&quot;\ * &quot;-&quot;??_ ;_ @_ "/>
    <numFmt numFmtId="166" formatCode="&quot;₹&quot;\ #,##0"/>
  </numFmts>
  <fonts count="1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6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sz val="16"/>
      <color theme="1"/>
      <name val="Times New Roman"/>
      <family val="1"/>
    </font>
    <font>
      <sz val="14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42">
    <xf numFmtId="0" fontId="0" fillId="0" borderId="0" xfId="0"/>
    <xf numFmtId="1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1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4" fontId="6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1" fontId="9" fillId="0" borderId="22" xfId="0" applyNumberFormat="1" applyFont="1" applyBorder="1" applyAlignment="1">
      <alignment horizontal="center" vertical="center" wrapText="1"/>
    </xf>
    <xf numFmtId="4" fontId="9" fillId="0" borderId="2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4" fontId="2" fillId="0" borderId="10" xfId="0" applyNumberFormat="1" applyFont="1" applyBorder="1" applyAlignment="1">
      <alignment horizontal="center" vertical="center"/>
    </xf>
    <xf numFmtId="166" fontId="6" fillId="0" borderId="43" xfId="0" applyNumberFormat="1" applyFont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 wrapText="1"/>
    </xf>
    <xf numFmtId="0" fontId="8" fillId="2" borderId="27" xfId="0" applyFont="1" applyFill="1" applyBorder="1" applyAlignment="1">
      <alignment vertical="center" wrapText="1"/>
    </xf>
    <xf numFmtId="0" fontId="8" fillId="2" borderId="20" xfId="0" applyFont="1" applyFill="1" applyBorder="1" applyAlignment="1">
      <alignment vertical="center" wrapText="1"/>
    </xf>
    <xf numFmtId="166" fontId="9" fillId="3" borderId="24" xfId="0" applyNumberFormat="1" applyFont="1" applyFill="1" applyBorder="1" applyAlignment="1">
      <alignment horizontal="center" vertical="center"/>
    </xf>
    <xf numFmtId="166" fontId="6" fillId="0" borderId="44" xfId="0" applyNumberFormat="1" applyFont="1" applyBorder="1" applyAlignment="1">
      <alignment horizontal="center" vertical="center"/>
    </xf>
    <xf numFmtId="166" fontId="6" fillId="0" borderId="41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 wrapText="1"/>
    </xf>
    <xf numFmtId="166" fontId="6" fillId="0" borderId="8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/>
    </xf>
    <xf numFmtId="1" fontId="10" fillId="2" borderId="46" xfId="0" applyNumberFormat="1" applyFont="1" applyFill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4" fillId="0" borderId="0" xfId="1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6" fontId="6" fillId="0" borderId="18" xfId="0" applyNumberFormat="1" applyFont="1" applyBorder="1" applyAlignment="1">
      <alignment horizontal="center" vertical="center"/>
    </xf>
    <xf numFmtId="166" fontId="6" fillId="0" borderId="16" xfId="0" applyNumberFormat="1" applyFont="1" applyBorder="1" applyAlignment="1">
      <alignment horizontal="center" vertical="center"/>
    </xf>
    <xf numFmtId="166" fontId="6" fillId="0" borderId="13" xfId="0" applyNumberFormat="1" applyFont="1" applyBorder="1" applyAlignment="1">
      <alignment horizontal="center" vertical="center"/>
    </xf>
    <xf numFmtId="166" fontId="6" fillId="0" borderId="21" xfId="0" applyNumberFormat="1" applyFont="1" applyBorder="1" applyAlignment="1">
      <alignment horizontal="center" vertical="center"/>
    </xf>
    <xf numFmtId="166" fontId="6" fillId="0" borderId="12" xfId="0" applyNumberFormat="1" applyFont="1" applyBorder="1" applyAlignment="1">
      <alignment horizontal="center" vertical="center"/>
    </xf>
    <xf numFmtId="166" fontId="6" fillId="0" borderId="14" xfId="0" applyNumberFormat="1" applyFont="1" applyBorder="1" applyAlignment="1">
      <alignment horizontal="center" vertical="center"/>
    </xf>
    <xf numFmtId="166" fontId="6" fillId="0" borderId="28" xfId="0" applyNumberFormat="1" applyFont="1" applyBorder="1" applyAlignment="1">
      <alignment horizontal="center" vertical="center"/>
    </xf>
    <xf numFmtId="166" fontId="6" fillId="0" borderId="17" xfId="0" applyNumberFormat="1" applyFont="1" applyBorder="1" applyAlignment="1">
      <alignment horizontal="center" vertical="center"/>
    </xf>
    <xf numFmtId="166" fontId="6" fillId="0" borderId="15" xfId="0" applyNumberFormat="1" applyFont="1" applyBorder="1" applyAlignment="1">
      <alignment horizontal="center" vertical="center"/>
    </xf>
    <xf numFmtId="166" fontId="9" fillId="0" borderId="45" xfId="0" applyNumberFormat="1" applyFont="1" applyBorder="1" applyAlignment="1">
      <alignment horizontal="center" vertical="center"/>
    </xf>
    <xf numFmtId="166" fontId="9" fillId="0" borderId="24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4" borderId="49" xfId="0" applyFont="1" applyFill="1" applyBorder="1" applyAlignment="1">
      <alignment horizontal="center" vertical="center" wrapText="1"/>
    </xf>
    <xf numFmtId="0" fontId="6" fillId="4" borderId="51" xfId="0" applyFont="1" applyFill="1" applyBorder="1" applyAlignment="1">
      <alignment horizontal="center" vertical="center" wrapText="1"/>
    </xf>
    <xf numFmtId="0" fontId="6" fillId="4" borderId="50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1" fontId="9" fillId="0" borderId="49" xfId="0" applyNumberFormat="1" applyFont="1" applyBorder="1" applyAlignment="1">
      <alignment horizontal="center" vertical="center"/>
    </xf>
    <xf numFmtId="1" fontId="9" fillId="0" borderId="51" xfId="0" applyNumberFormat="1" applyFont="1" applyBorder="1" applyAlignment="1">
      <alignment horizontal="center" vertical="center"/>
    </xf>
    <xf numFmtId="1" fontId="9" fillId="0" borderId="50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14" fontId="6" fillId="3" borderId="27" xfId="0" applyNumberFormat="1" applyFont="1" applyFill="1" applyBorder="1" applyAlignment="1">
      <alignment horizontal="center" vertical="center" wrapText="1"/>
    </xf>
    <xf numFmtId="14" fontId="6" fillId="3" borderId="20" xfId="0" applyNumberFormat="1" applyFont="1" applyFill="1" applyBorder="1" applyAlignment="1">
      <alignment horizontal="center" vertical="center"/>
    </xf>
    <xf numFmtId="14" fontId="6" fillId="3" borderId="24" xfId="0" applyNumberFormat="1" applyFont="1" applyFill="1" applyBorder="1" applyAlignment="1">
      <alignment horizontal="center" vertical="center"/>
    </xf>
    <xf numFmtId="14" fontId="6" fillId="0" borderId="26" xfId="0" applyNumberFormat="1" applyFont="1" applyBorder="1" applyAlignment="1">
      <alignment horizontal="center" vertical="center" wrapText="1"/>
    </xf>
    <xf numFmtId="14" fontId="6" fillId="0" borderId="25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27"/>
  <sheetViews>
    <sheetView tabSelected="1" zoomScale="72" zoomScaleNormal="72" workbookViewId="0">
      <selection activeCell="A18" sqref="A18:R18"/>
    </sheetView>
  </sheetViews>
  <sheetFormatPr defaultRowHeight="21" customHeight="1"/>
  <cols>
    <col min="1" max="1" width="5.85546875" style="4" customWidth="1"/>
    <col min="2" max="2" width="18.5703125" style="4" customWidth="1"/>
    <col min="3" max="3" width="21.42578125" style="4" bestFit="1" customWidth="1"/>
    <col min="4" max="4" width="0.42578125" style="4" hidden="1" customWidth="1"/>
    <col min="5" max="5" width="14.7109375" style="4" customWidth="1"/>
    <col min="6" max="6" width="25.5703125" style="4" customWidth="1"/>
    <col min="7" max="7" width="14.28515625" style="4" bestFit="1" customWidth="1"/>
    <col min="8" max="8" width="16.140625" style="4" customWidth="1"/>
    <col min="9" max="9" width="10.28515625" style="4" customWidth="1"/>
    <col min="10" max="10" width="10.140625" style="4" customWidth="1"/>
    <col min="11" max="11" width="8.5703125" style="4" customWidth="1"/>
    <col min="12" max="12" width="9.85546875" style="4" customWidth="1"/>
    <col min="13" max="13" width="10.85546875" style="4" customWidth="1"/>
    <col min="14" max="14" width="12.28515625" style="4" customWidth="1"/>
    <col min="15" max="15" width="12.28515625" style="1" customWidth="1"/>
    <col min="16" max="16" width="12.140625" style="1" customWidth="1"/>
    <col min="17" max="17" width="14" style="1" customWidth="1"/>
    <col min="18" max="18" width="20.5703125" style="2" customWidth="1"/>
    <col min="19" max="16384" width="9.140625" style="4"/>
  </cols>
  <sheetData>
    <row r="1" spans="1:21" ht="21" customHeight="1">
      <c r="A1" s="134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6"/>
    </row>
    <row r="2" spans="1:21" ht="21" customHeight="1">
      <c r="A2" s="137" t="s">
        <v>1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9"/>
    </row>
    <row r="3" spans="1:21" ht="21" customHeight="1">
      <c r="A3" s="137" t="s">
        <v>2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9"/>
    </row>
    <row r="4" spans="1:21" ht="21" customHeight="1">
      <c r="A4" s="137" t="s">
        <v>3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9"/>
    </row>
    <row r="5" spans="1:21" ht="21" customHeight="1">
      <c r="A5" s="137" t="s">
        <v>4</v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9"/>
    </row>
    <row r="6" spans="1:21" ht="21" customHeight="1" thickBot="1">
      <c r="A6" s="140"/>
      <c r="B6" s="141"/>
      <c r="C6" s="51"/>
      <c r="D6" s="51"/>
      <c r="E6" s="51"/>
      <c r="F6" s="51"/>
      <c r="G6" s="141"/>
      <c r="H6" s="141"/>
      <c r="I6" s="141"/>
      <c r="J6" s="141"/>
      <c r="K6" s="141"/>
      <c r="L6" s="141"/>
      <c r="M6" s="51"/>
      <c r="N6" s="51"/>
      <c r="O6" s="5"/>
      <c r="P6" s="5"/>
      <c r="Q6" s="5"/>
      <c r="R6" s="6"/>
    </row>
    <row r="7" spans="1:21" ht="21" customHeight="1" thickBot="1">
      <c r="A7" s="97" t="s">
        <v>19</v>
      </c>
      <c r="B7" s="98"/>
      <c r="C7" s="98"/>
      <c r="D7" s="98"/>
      <c r="E7" s="99"/>
      <c r="F7" s="11" t="s">
        <v>5</v>
      </c>
      <c r="G7" s="100">
        <v>6800004751</v>
      </c>
      <c r="H7" s="101"/>
      <c r="I7" s="101"/>
      <c r="J7" s="101"/>
      <c r="K7" s="101"/>
      <c r="L7" s="101"/>
      <c r="M7" s="102" t="s">
        <v>20</v>
      </c>
      <c r="N7" s="101"/>
      <c r="O7" s="101"/>
      <c r="P7" s="101"/>
      <c r="Q7" s="101"/>
      <c r="R7" s="103"/>
    </row>
    <row r="8" spans="1:21" ht="27" customHeight="1" thickBot="1">
      <c r="A8" s="104" t="s">
        <v>24</v>
      </c>
      <c r="B8" s="105"/>
      <c r="C8" s="105"/>
      <c r="D8" s="105"/>
      <c r="E8" s="106"/>
      <c r="F8" s="12" t="s">
        <v>6</v>
      </c>
      <c r="G8" s="110">
        <v>43742</v>
      </c>
      <c r="H8" s="101"/>
      <c r="I8" s="101"/>
      <c r="J8" s="101"/>
      <c r="K8" s="101"/>
      <c r="L8" s="103"/>
      <c r="M8" s="111" t="s">
        <v>23</v>
      </c>
      <c r="N8" s="112"/>
      <c r="O8" s="113"/>
      <c r="P8" s="114"/>
      <c r="Q8" s="114"/>
      <c r="R8" s="115"/>
    </row>
    <row r="9" spans="1:21" ht="73.5" customHeight="1" thickBot="1">
      <c r="A9" s="107"/>
      <c r="B9" s="108"/>
      <c r="C9" s="108"/>
      <c r="D9" s="108"/>
      <c r="E9" s="109"/>
      <c r="F9" s="13" t="s">
        <v>16</v>
      </c>
      <c r="G9" s="126" t="s">
        <v>39</v>
      </c>
      <c r="H9" s="127"/>
      <c r="I9" s="127"/>
      <c r="J9" s="127"/>
      <c r="K9" s="127"/>
      <c r="L9" s="128"/>
      <c r="M9" s="116"/>
      <c r="N9" s="117"/>
      <c r="O9" s="118"/>
      <c r="P9" s="119"/>
      <c r="Q9" s="119"/>
      <c r="R9" s="120"/>
    </row>
    <row r="10" spans="1:21" ht="21" customHeight="1" thickBot="1">
      <c r="A10" s="107"/>
      <c r="B10" s="108"/>
      <c r="C10" s="108"/>
      <c r="D10" s="108"/>
      <c r="E10" s="109"/>
      <c r="F10" s="57"/>
      <c r="G10" s="129"/>
      <c r="H10" s="129"/>
      <c r="I10" s="129"/>
      <c r="J10" s="129"/>
      <c r="K10" s="129"/>
      <c r="L10" s="130"/>
      <c r="M10" s="116"/>
      <c r="N10" s="117"/>
      <c r="O10" s="118"/>
      <c r="P10" s="119"/>
      <c r="Q10" s="119"/>
      <c r="R10" s="120"/>
    </row>
    <row r="11" spans="1:21" ht="63.75" customHeight="1" thickBot="1">
      <c r="A11" s="107"/>
      <c r="B11" s="108"/>
      <c r="C11" s="108"/>
      <c r="D11" s="108"/>
      <c r="E11" s="109"/>
      <c r="F11" s="12" t="s">
        <v>21</v>
      </c>
      <c r="G11" s="131"/>
      <c r="H11" s="132"/>
      <c r="I11" s="132"/>
      <c r="J11" s="132"/>
      <c r="K11" s="132"/>
      <c r="L11" s="133"/>
      <c r="M11" s="121"/>
      <c r="N11" s="122"/>
      <c r="O11" s="123"/>
      <c r="P11" s="124"/>
      <c r="Q11" s="124"/>
      <c r="R11" s="125"/>
    </row>
    <row r="12" spans="1:21" ht="79.5" customHeight="1" thickBot="1">
      <c r="A12" s="46" t="s">
        <v>7</v>
      </c>
      <c r="B12" s="43" t="s">
        <v>8</v>
      </c>
      <c r="C12" s="73" t="s">
        <v>9</v>
      </c>
      <c r="D12" s="74"/>
      <c r="E12" s="75"/>
      <c r="F12" s="34" t="s">
        <v>10</v>
      </c>
      <c r="G12" s="33" t="s">
        <v>11</v>
      </c>
      <c r="H12" s="48" t="s">
        <v>33</v>
      </c>
      <c r="I12" s="48" t="s">
        <v>34</v>
      </c>
      <c r="J12" s="48" t="s">
        <v>35</v>
      </c>
      <c r="K12" s="48" t="s">
        <v>36</v>
      </c>
      <c r="L12" s="48" t="s">
        <v>37</v>
      </c>
      <c r="M12" s="52" t="s">
        <v>12</v>
      </c>
      <c r="N12" s="43" t="s">
        <v>25</v>
      </c>
      <c r="O12" s="38" t="s">
        <v>29</v>
      </c>
      <c r="P12" s="15" t="s">
        <v>26</v>
      </c>
      <c r="Q12" s="15" t="s">
        <v>22</v>
      </c>
      <c r="R12" s="16" t="s">
        <v>13</v>
      </c>
    </row>
    <row r="13" spans="1:21" ht="30.75" customHeight="1">
      <c r="A13" s="76">
        <v>1</v>
      </c>
      <c r="B13" s="79" t="s">
        <v>38</v>
      </c>
      <c r="C13" s="82" t="s">
        <v>30</v>
      </c>
      <c r="D13" s="83"/>
      <c r="E13" s="84"/>
      <c r="F13" s="35" t="s">
        <v>31</v>
      </c>
      <c r="G13" s="91" t="s">
        <v>18</v>
      </c>
      <c r="H13" s="49">
        <v>1293</v>
      </c>
      <c r="I13" s="55">
        <v>2424</v>
      </c>
      <c r="J13" s="55">
        <v>2424</v>
      </c>
      <c r="K13" s="55">
        <v>1293</v>
      </c>
      <c r="L13" s="55">
        <v>566</v>
      </c>
      <c r="M13" s="40">
        <f>SUM(H13:L13)</f>
        <v>8000</v>
      </c>
      <c r="N13" s="94">
        <f>M13+M15+M14</f>
        <v>24000</v>
      </c>
      <c r="O13" s="59">
        <v>1165</v>
      </c>
      <c r="P13" s="62">
        <f>O13*12%</f>
        <v>139.79999999999998</v>
      </c>
      <c r="Q13" s="62">
        <f>O13+P13</f>
        <v>1304.8</v>
      </c>
      <c r="R13" s="65">
        <f>N13*Q13</f>
        <v>31315200</v>
      </c>
      <c r="S13" s="1"/>
    </row>
    <row r="14" spans="1:21" ht="30.75" customHeight="1">
      <c r="A14" s="77"/>
      <c r="B14" s="80"/>
      <c r="C14" s="85"/>
      <c r="D14" s="86"/>
      <c r="E14" s="87"/>
      <c r="F14" s="37" t="s">
        <v>28</v>
      </c>
      <c r="G14" s="92"/>
      <c r="H14" s="53">
        <v>1293</v>
      </c>
      <c r="I14" s="58">
        <v>2424</v>
      </c>
      <c r="J14" s="58">
        <v>2424</v>
      </c>
      <c r="K14" s="58">
        <v>1293</v>
      </c>
      <c r="L14" s="58">
        <v>566</v>
      </c>
      <c r="M14" s="42">
        <f>SUM(H14:L14)</f>
        <v>8000</v>
      </c>
      <c r="N14" s="95"/>
      <c r="O14" s="60"/>
      <c r="P14" s="63"/>
      <c r="Q14" s="63"/>
      <c r="R14" s="66"/>
      <c r="S14" s="1"/>
    </row>
    <row r="15" spans="1:21" ht="30.75" customHeight="1" thickBot="1">
      <c r="A15" s="78"/>
      <c r="B15" s="81"/>
      <c r="C15" s="88"/>
      <c r="D15" s="89"/>
      <c r="E15" s="90"/>
      <c r="F15" s="36" t="s">
        <v>32</v>
      </c>
      <c r="G15" s="93"/>
      <c r="H15" s="50">
        <v>1293</v>
      </c>
      <c r="I15" s="56">
        <v>2424</v>
      </c>
      <c r="J15" s="56">
        <v>2424</v>
      </c>
      <c r="K15" s="56">
        <v>1293</v>
      </c>
      <c r="L15" s="56">
        <v>566</v>
      </c>
      <c r="M15" s="41">
        <f>SUM(H15:L15)</f>
        <v>8000</v>
      </c>
      <c r="N15" s="96"/>
      <c r="O15" s="61"/>
      <c r="P15" s="64"/>
      <c r="Q15" s="64"/>
      <c r="R15" s="67"/>
      <c r="S15" s="54"/>
      <c r="T15" s="47"/>
      <c r="U15" s="47"/>
    </row>
    <row r="16" spans="1:21" ht="9" customHeight="1" thickBot="1">
      <c r="A16" s="26"/>
      <c r="B16" s="27"/>
      <c r="C16" s="24"/>
      <c r="D16" s="25"/>
      <c r="E16" s="25"/>
      <c r="F16" s="51"/>
      <c r="G16" s="51"/>
      <c r="H16" s="51"/>
      <c r="I16" s="51"/>
      <c r="J16" s="51"/>
      <c r="K16" s="51"/>
      <c r="L16" s="51"/>
      <c r="M16" s="5"/>
      <c r="N16" s="44"/>
      <c r="O16" s="39"/>
      <c r="P16" s="23"/>
      <c r="Q16" s="32"/>
      <c r="R16" s="31"/>
      <c r="S16" s="1"/>
    </row>
    <row r="17" spans="1:19" ht="34.5" customHeight="1" thickBot="1">
      <c r="A17" s="13"/>
      <c r="B17" s="14"/>
      <c r="C17" s="28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45">
        <f>SUM(N13:N16)</f>
        <v>24000</v>
      </c>
      <c r="O17" s="29"/>
      <c r="P17" s="68" t="s">
        <v>27</v>
      </c>
      <c r="Q17" s="69"/>
      <c r="R17" s="30">
        <f>R13</f>
        <v>31315200</v>
      </c>
      <c r="S17" s="1"/>
    </row>
    <row r="18" spans="1:19" ht="21" customHeight="1" thickBot="1">
      <c r="A18" s="70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2"/>
    </row>
    <row r="19" spans="1:19" ht="21" customHeight="1">
      <c r="A19" s="1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  <c r="P19" s="9"/>
      <c r="Q19" s="9"/>
      <c r="R19" s="18"/>
    </row>
    <row r="20" spans="1:19" ht="21" customHeight="1">
      <c r="A20" s="1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 t="s">
        <v>14</v>
      </c>
      <c r="N20" s="8"/>
      <c r="O20" s="9"/>
      <c r="P20" s="9"/>
      <c r="Q20" s="9"/>
      <c r="R20" s="18"/>
    </row>
    <row r="21" spans="1:19" ht="21" customHeight="1">
      <c r="A21" s="1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  <c r="P21" s="9"/>
      <c r="Q21" s="9"/>
      <c r="R21" s="18"/>
    </row>
    <row r="22" spans="1:19" ht="21" customHeight="1">
      <c r="A22" s="1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9"/>
      <c r="Q22" s="9"/>
      <c r="R22" s="18"/>
    </row>
    <row r="23" spans="1:19" ht="21" customHeight="1" thickBot="1">
      <c r="A23" s="19"/>
      <c r="B23" s="20" t="s">
        <v>17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 t="s">
        <v>15</v>
      </c>
      <c r="N23" s="20"/>
      <c r="O23" s="21"/>
      <c r="P23" s="21"/>
      <c r="Q23" s="21"/>
      <c r="R23" s="22"/>
    </row>
    <row r="24" spans="1:19" ht="21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8"/>
      <c r="N24" s="8"/>
      <c r="O24" s="9"/>
      <c r="P24" s="9"/>
      <c r="Q24" s="9"/>
      <c r="R24" s="10"/>
    </row>
    <row r="25" spans="1:19" ht="21" customHeight="1">
      <c r="R25" s="3"/>
    </row>
    <row r="26" spans="1:19" ht="21" customHeight="1">
      <c r="R26" s="3"/>
    </row>
    <row r="27" spans="1:19" ht="21" customHeight="1">
      <c r="R27" s="3"/>
    </row>
  </sheetData>
  <mergeCells count="28">
    <mergeCell ref="A6:B6"/>
    <mergeCell ref="G6:L6"/>
    <mergeCell ref="A1:R1"/>
    <mergeCell ref="A2:R2"/>
    <mergeCell ref="A3:R3"/>
    <mergeCell ref="A4:R4"/>
    <mergeCell ref="A5:R5"/>
    <mergeCell ref="A7:E7"/>
    <mergeCell ref="G7:L7"/>
    <mergeCell ref="M7:R7"/>
    <mergeCell ref="A8:E11"/>
    <mergeCell ref="G8:L8"/>
    <mergeCell ref="M8:R11"/>
    <mergeCell ref="G9:L9"/>
    <mergeCell ref="G10:L10"/>
    <mergeCell ref="G11:L11"/>
    <mergeCell ref="A18:R18"/>
    <mergeCell ref="C12:E12"/>
    <mergeCell ref="A13:A15"/>
    <mergeCell ref="B13:B15"/>
    <mergeCell ref="C13:E15"/>
    <mergeCell ref="G13:G15"/>
    <mergeCell ref="N13:N15"/>
    <mergeCell ref="O13:O15"/>
    <mergeCell ref="P13:P15"/>
    <mergeCell ref="Q13:Q15"/>
    <mergeCell ref="R13:R15"/>
    <mergeCell ref="P17:Q17"/>
  </mergeCells>
  <pageMargins left="0.2" right="0.2" top="0.28999999999999998" bottom="0.24" header="0.31496062992126" footer="0.31496062992126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JC-327 revise delivery dt 4july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Namita</dc:creator>
  <cp:lastModifiedBy>MONIKA</cp:lastModifiedBy>
  <cp:lastPrinted>2019-07-04T07:17:32Z</cp:lastPrinted>
  <dcterms:created xsi:type="dcterms:W3CDTF">2011-04-29T10:58:28Z</dcterms:created>
  <dcterms:modified xsi:type="dcterms:W3CDTF">2019-07-05T08:25:15Z</dcterms:modified>
</cp:coreProperties>
</file>