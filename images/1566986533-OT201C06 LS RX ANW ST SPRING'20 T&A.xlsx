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rive C\Desktop\polo\SPRING'20\OT201C06- TIE-DYE\"/>
    </mc:Choice>
  </mc:AlternateContent>
  <xr:revisionPtr revIDLastSave="0" documentId="8_{150E76D8-D3BD-DE49-861B-8709DDBFF59D}" xr6:coauthVersionLast="43" xr6:coauthVersionMax="43" xr10:uidLastSave="{00000000-0000-0000-0000-000000000000}"/>
  <bookViews>
    <workbookView xWindow="0" yWindow="0" windowWidth="20490" windowHeight="7455" tabRatio="925" xr2:uid="{00000000-000D-0000-FFFF-FFFF00000000}"/>
  </bookViews>
  <sheets>
    <sheet name="OT201C06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8" i="7" l="1"/>
  <c r="B26" i="7"/>
  <c r="B25" i="7"/>
  <c r="B24" i="7"/>
  <c r="B23" i="7"/>
  <c r="B18" i="7"/>
  <c r="B13" i="7"/>
  <c r="B14" i="7"/>
  <c r="B15" i="7"/>
  <c r="B16" i="7"/>
  <c r="B19" i="7"/>
  <c r="B9" i="7"/>
  <c r="B12" i="7"/>
  <c r="B17" i="7"/>
  <c r="B20" i="7"/>
  <c r="B21" i="7"/>
  <c r="B22" i="7"/>
</calcChain>
</file>

<file path=xl/sharedStrings.xml><?xml version="1.0" encoding="utf-8"?>
<sst xmlns="http://schemas.openxmlformats.org/spreadsheetml/2006/main" count="43" uniqueCount="43">
  <si>
    <t>T&amp;A submission</t>
    <phoneticPr fontId="1" type="noConversion"/>
  </si>
  <si>
    <t>Actual</t>
  </si>
  <si>
    <t>Remarks</t>
  </si>
  <si>
    <t>Season</t>
    <phoneticPr fontId="1" type="noConversion"/>
  </si>
  <si>
    <t>Block #</t>
    <phoneticPr fontId="1" type="noConversion"/>
  </si>
  <si>
    <t>Model</t>
    <phoneticPr fontId="1" type="noConversion"/>
  </si>
  <si>
    <t>Fty/ C/O</t>
  </si>
  <si>
    <t>Fabric IC#</t>
    <phoneticPr fontId="1" type="noConversion"/>
  </si>
  <si>
    <t>Fabric Mill / Mill's Article#</t>
    <phoneticPr fontId="1" type="noConversion"/>
  </si>
  <si>
    <t>Order OTB</t>
    <phoneticPr fontId="1" type="noConversion"/>
  </si>
  <si>
    <t>Proposed Garment Ship Mode</t>
  </si>
  <si>
    <t>NDC</t>
    <phoneticPr fontId="1" type="noConversion"/>
  </si>
  <si>
    <t>Start Ship</t>
    <phoneticPr fontId="1" type="noConversion"/>
  </si>
  <si>
    <t>Trim OTB</t>
  </si>
  <si>
    <t>OCEAN</t>
  </si>
  <si>
    <t>MODELAMA EXPORTS</t>
  </si>
  <si>
    <t>GARMENT FOB</t>
  </si>
  <si>
    <t>GARMENT FCA</t>
  </si>
  <si>
    <t>GARMENT EX-FTY</t>
  </si>
  <si>
    <t xml:space="preserve">OTB QTY </t>
  </si>
  <si>
    <t>REMARKS</t>
  </si>
  <si>
    <t>PROTO COMMENTS</t>
  </si>
  <si>
    <t xml:space="preserve">1ST SF SUBMISSION </t>
  </si>
  <si>
    <t>1ST SF COMMENTS</t>
  </si>
  <si>
    <t>1ST PPS SUBMISSION</t>
  </si>
  <si>
    <t>1ST PPS APPROVAL</t>
  </si>
  <si>
    <t>BULK FABRIC EX MILL</t>
  </si>
  <si>
    <t>BULK FABRIC INHOUSE</t>
  </si>
  <si>
    <t>GARMENT TEST SUBMISSION</t>
  </si>
  <si>
    <t>GARMENT TEST RESULT</t>
  </si>
  <si>
    <t>GARMENT TEST APPROVAL</t>
  </si>
  <si>
    <t>PLAN CUT</t>
  </si>
  <si>
    <t>INITIAL FABRIC REQUIRED</t>
  </si>
  <si>
    <t xml:space="preserve">100% COTTON </t>
  </si>
  <si>
    <t>NA</t>
  </si>
  <si>
    <t>SPRING'20</t>
  </si>
  <si>
    <t>WASH APPROVAL SUBMISISON</t>
  </si>
  <si>
    <t>WASH APPROVAL COMMENTS</t>
  </si>
  <si>
    <t>ARTHANARI LOOM</t>
  </si>
  <si>
    <t>2840  pcs</t>
  </si>
  <si>
    <t xml:space="preserve">OT201C06 - LS RX ANW ST </t>
  </si>
  <si>
    <t xml:space="preserve">DTC-US: 750                                                                                                                                    EU: 2090                                                                                                                                                                                                                 </t>
  </si>
  <si>
    <t xml:space="preserve">TILLER GREEN - 200 PCS                                                                                                                                         SPA ROYAL - 1375 PCA                                                                                                                                                            SPORT PINK -  1265 PCS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</si>
</sst>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409]d\-m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0" xfId="0" applyFont="1"/>
    <xf numFmtId="0" fontId="4" fillId="3" borderId="1" xfId="0" applyFont="1" applyFill="1" applyBorder="1" applyAlignment="1"/>
    <xf numFmtId="164" fontId="2" fillId="4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5" fillId="2" borderId="1" xfId="0" applyFont="1" applyFill="1" applyBorder="1"/>
    <xf numFmtId="164" fontId="0" fillId="2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6" fillId="0" borderId="1" xfId="0" applyFont="1" applyFill="1" applyBorder="1"/>
    <xf numFmtId="164" fontId="6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6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5" fillId="6" borderId="1" xfId="0" applyFont="1" applyFill="1" applyBorder="1"/>
    <xf numFmtId="165" fontId="5" fillId="7" borderId="1" xfId="0" applyNumberFormat="1" applyFont="1" applyFill="1" applyBorder="1"/>
    <xf numFmtId="164" fontId="6" fillId="7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wrapText="1"/>
    </xf>
    <xf numFmtId="16" fontId="0" fillId="0" borderId="0" xfId="0" applyNumberFormat="1" applyFont="1"/>
    <xf numFmtId="16" fontId="2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1"/>
  <sheetViews>
    <sheetView tabSelected="1" zoomScale="96" zoomScaleNormal="96" workbookViewId="0" xr3:uid="{AEA406A1-0E4B-5B11-9CD5-51D6E497D94C}">
      <selection activeCell="C13" sqref="C13"/>
    </sheetView>
  </sheetViews>
  <sheetFormatPr defaultColWidth="9.14453125" defaultRowHeight="15" x14ac:dyDescent="0.2"/>
  <cols>
    <col min="1" max="1" width="31.34375" style="6" bestFit="1" customWidth="1"/>
    <col min="2" max="2" width="39.68359375" style="6" customWidth="1"/>
    <col min="3" max="3" width="20.84765625" style="6" customWidth="1"/>
    <col min="4" max="4" width="24.6171875" style="6" customWidth="1"/>
    <col min="5" max="16384" width="9.14453125" style="6"/>
  </cols>
  <sheetData>
    <row r="1" spans="1:7" x14ac:dyDescent="0.2">
      <c r="A1" s="7" t="s">
        <v>0</v>
      </c>
      <c r="B1" s="8">
        <v>43615</v>
      </c>
      <c r="C1" s="1" t="s">
        <v>1</v>
      </c>
      <c r="D1" s="1" t="s">
        <v>2</v>
      </c>
    </row>
    <row r="2" spans="1:7" x14ac:dyDescent="0.2">
      <c r="A2" s="9" t="s">
        <v>3</v>
      </c>
      <c r="B2" s="28" t="s">
        <v>35</v>
      </c>
      <c r="C2" s="10"/>
      <c r="D2" s="2"/>
    </row>
    <row r="3" spans="1:7" x14ac:dyDescent="0.2">
      <c r="A3" s="9" t="s">
        <v>4</v>
      </c>
      <c r="B3" s="28" t="s">
        <v>40</v>
      </c>
      <c r="C3" s="11"/>
      <c r="D3" s="2"/>
    </row>
    <row r="4" spans="1:7" x14ac:dyDescent="0.2">
      <c r="A4" s="9" t="s">
        <v>5</v>
      </c>
      <c r="B4" s="28" t="s">
        <v>33</v>
      </c>
      <c r="C4" s="10"/>
      <c r="D4" s="2"/>
    </row>
    <row r="5" spans="1:7" x14ac:dyDescent="0.2">
      <c r="A5" s="9" t="s">
        <v>6</v>
      </c>
      <c r="B5" s="28" t="s">
        <v>15</v>
      </c>
      <c r="C5" s="10"/>
      <c r="D5" s="2"/>
    </row>
    <row r="6" spans="1:7" x14ac:dyDescent="0.2">
      <c r="A6" s="9" t="s">
        <v>7</v>
      </c>
      <c r="B6" s="24">
        <v>100126242</v>
      </c>
      <c r="C6" s="10"/>
      <c r="D6" s="2"/>
    </row>
    <row r="7" spans="1:7" ht="19.5" customHeight="1" x14ac:dyDescent="0.2">
      <c r="A7" s="37" t="s">
        <v>8</v>
      </c>
      <c r="B7" s="38" t="s">
        <v>38</v>
      </c>
      <c r="C7" s="10"/>
      <c r="D7" s="2"/>
    </row>
    <row r="8" spans="1:7" x14ac:dyDescent="0.2">
      <c r="A8" s="12" t="s">
        <v>9</v>
      </c>
      <c r="B8" s="13">
        <v>43615</v>
      </c>
      <c r="C8" s="14"/>
      <c r="D8" s="33"/>
    </row>
    <row r="9" spans="1:7" x14ac:dyDescent="0.2">
      <c r="A9" s="9" t="s">
        <v>13</v>
      </c>
      <c r="B9" s="15">
        <f>B8+10</f>
        <v>43625</v>
      </c>
      <c r="C9" s="31"/>
      <c r="D9" s="34"/>
    </row>
    <row r="10" spans="1:7" x14ac:dyDescent="0.2">
      <c r="A10" s="9" t="s">
        <v>21</v>
      </c>
      <c r="B10" s="15" t="s">
        <v>34</v>
      </c>
      <c r="C10" s="31"/>
      <c r="D10" s="3"/>
    </row>
    <row r="11" spans="1:7" x14ac:dyDescent="0.2">
      <c r="A11" s="9" t="s">
        <v>22</v>
      </c>
      <c r="B11" s="15">
        <v>43599</v>
      </c>
      <c r="C11" s="31"/>
      <c r="D11" s="3"/>
      <c r="G11" s="32"/>
    </row>
    <row r="12" spans="1:7" x14ac:dyDescent="0.2">
      <c r="A12" s="9" t="s">
        <v>23</v>
      </c>
      <c r="B12" s="15">
        <f>B11+10</f>
        <v>43609</v>
      </c>
      <c r="C12" s="31"/>
      <c r="D12" s="3"/>
      <c r="G12" s="32"/>
    </row>
    <row r="13" spans="1:7" x14ac:dyDescent="0.2">
      <c r="A13" s="9" t="s">
        <v>32</v>
      </c>
      <c r="B13" s="15">
        <f>B18-4</f>
        <v>43676</v>
      </c>
      <c r="C13" s="31"/>
      <c r="D13" s="3"/>
    </row>
    <row r="14" spans="1:7" x14ac:dyDescent="0.2">
      <c r="A14" s="9" t="s">
        <v>36</v>
      </c>
      <c r="B14" s="15">
        <f>B13+10</f>
        <v>43686</v>
      </c>
      <c r="C14" s="31"/>
      <c r="D14" s="3"/>
    </row>
    <row r="15" spans="1:7" x14ac:dyDescent="0.2">
      <c r="A15" s="9" t="s">
        <v>37</v>
      </c>
      <c r="B15" s="15">
        <f>B14+7</f>
        <v>43693</v>
      </c>
      <c r="C15" s="31"/>
      <c r="D15" s="3"/>
    </row>
    <row r="16" spans="1:7" x14ac:dyDescent="0.2">
      <c r="A16" s="9" t="s">
        <v>24</v>
      </c>
      <c r="B16" s="35">
        <f>B15+5</f>
        <v>43698</v>
      </c>
      <c r="C16" s="16"/>
      <c r="D16" s="2"/>
    </row>
    <row r="17" spans="1:4" x14ac:dyDescent="0.2">
      <c r="A17" s="9" t="s">
        <v>25</v>
      </c>
      <c r="B17" s="35">
        <f>B16+10</f>
        <v>43708</v>
      </c>
      <c r="C17" s="14"/>
      <c r="D17" s="2"/>
    </row>
    <row r="18" spans="1:4" x14ac:dyDescent="0.2">
      <c r="A18" s="25" t="s">
        <v>26</v>
      </c>
      <c r="B18" s="20">
        <f>B8+65</f>
        <v>43680</v>
      </c>
      <c r="C18" s="14"/>
      <c r="D18" s="2"/>
    </row>
    <row r="19" spans="1:4" x14ac:dyDescent="0.2">
      <c r="A19" s="9" t="s">
        <v>27</v>
      </c>
      <c r="B19" s="20">
        <f>+B18+15</f>
        <v>43695</v>
      </c>
      <c r="C19" s="14"/>
      <c r="D19" s="2"/>
    </row>
    <row r="20" spans="1:4" x14ac:dyDescent="0.2">
      <c r="A20" s="9" t="s">
        <v>28</v>
      </c>
      <c r="B20" s="20">
        <f>B16</f>
        <v>43698</v>
      </c>
      <c r="C20" s="14"/>
      <c r="D20" s="2"/>
    </row>
    <row r="21" spans="1:4" x14ac:dyDescent="0.2">
      <c r="A21" s="9" t="s">
        <v>29</v>
      </c>
      <c r="B21" s="20">
        <f>B20+10</f>
        <v>43708</v>
      </c>
      <c r="C21" s="14"/>
      <c r="D21" s="2"/>
    </row>
    <row r="22" spans="1:4" x14ac:dyDescent="0.2">
      <c r="A22" s="9" t="s">
        <v>30</v>
      </c>
      <c r="B22" s="20">
        <f>B21+4</f>
        <v>43712</v>
      </c>
      <c r="C22" s="14"/>
      <c r="D22" s="2"/>
    </row>
    <row r="23" spans="1:4" x14ac:dyDescent="0.2">
      <c r="A23" s="9" t="s">
        <v>31</v>
      </c>
      <c r="B23" s="17">
        <f>B24-50</f>
        <v>43712</v>
      </c>
      <c r="C23" s="14"/>
      <c r="D23" s="2"/>
    </row>
    <row r="24" spans="1:4" x14ac:dyDescent="0.2">
      <c r="A24" s="9" t="s">
        <v>18</v>
      </c>
      <c r="B24" s="17">
        <f>B25-7</f>
        <v>43762</v>
      </c>
      <c r="C24" s="14"/>
      <c r="D24" s="2"/>
    </row>
    <row r="25" spans="1:4" x14ac:dyDescent="0.2">
      <c r="A25" s="29" t="s">
        <v>17</v>
      </c>
      <c r="B25" s="20">
        <f>B26-3</f>
        <v>43769</v>
      </c>
      <c r="C25" s="14"/>
      <c r="D25" s="4"/>
    </row>
    <row r="26" spans="1:4" x14ac:dyDescent="0.2">
      <c r="A26" s="12" t="s">
        <v>16</v>
      </c>
      <c r="B26" s="18">
        <f>B28-32</f>
        <v>43772</v>
      </c>
      <c r="C26" s="14"/>
      <c r="D26" s="4"/>
    </row>
    <row r="27" spans="1:4" x14ac:dyDescent="0.2">
      <c r="A27" s="26" t="s">
        <v>10</v>
      </c>
      <c r="B27" s="27" t="s">
        <v>14</v>
      </c>
      <c r="C27" s="14"/>
      <c r="D27" s="2"/>
    </row>
    <row r="28" spans="1:4" x14ac:dyDescent="0.2">
      <c r="A28" s="9" t="s">
        <v>11</v>
      </c>
      <c r="B28" s="35">
        <f>B29-10</f>
        <v>43804</v>
      </c>
      <c r="C28" s="14"/>
      <c r="D28" s="2"/>
    </row>
    <row r="29" spans="1:4" x14ac:dyDescent="0.2">
      <c r="A29" s="19" t="s">
        <v>12</v>
      </c>
      <c r="B29" s="20">
        <v>43814</v>
      </c>
      <c r="C29" s="14"/>
      <c r="D29" s="2"/>
    </row>
    <row r="30" spans="1:4" x14ac:dyDescent="0.2">
      <c r="A30" s="21" t="s">
        <v>19</v>
      </c>
      <c r="B30" s="22" t="s">
        <v>39</v>
      </c>
      <c r="C30" s="14"/>
      <c r="D30" s="2"/>
    </row>
    <row r="31" spans="1:4" ht="183" customHeight="1" x14ac:dyDescent="0.2">
      <c r="A31" s="30" t="s">
        <v>20</v>
      </c>
      <c r="B31" s="36" t="s">
        <v>41</v>
      </c>
      <c r="C31" s="23" t="s">
        <v>42</v>
      </c>
      <c r="D31" s="5"/>
    </row>
  </sheetData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OT201C06</vt:lpstr>
    </vt:vector>
  </TitlesOfParts>
  <Company>Ralph Lauren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User</dc:creator>
  <cp:lastModifiedBy>Vipin Kumar</cp:lastModifiedBy>
  <cp:lastPrinted>2017-05-22T10:02:16Z</cp:lastPrinted>
  <dcterms:created xsi:type="dcterms:W3CDTF">2017-03-16T20:57:23Z</dcterms:created>
  <dcterms:modified xsi:type="dcterms:W3CDTF">2019-05-30T07:38:07Z</dcterms:modified>
</cp:coreProperties>
</file>