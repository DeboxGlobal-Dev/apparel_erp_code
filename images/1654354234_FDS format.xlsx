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s\OneDrive\Desktop\Sanya int Apparel ERP\"/>
    </mc:Choice>
  </mc:AlternateContent>
  <xr:revisionPtr revIDLastSave="0" documentId="13_ncr:1_{B98C2C51-ED68-499C-9A4F-69FB4598C91F}" xr6:coauthVersionLast="47" xr6:coauthVersionMax="47" xr10:uidLastSave="{00000000-0000-0000-0000-000000000000}"/>
  <bookViews>
    <workbookView xWindow="-120" yWindow="-120" windowWidth="20730" windowHeight="11160" xr2:uid="{91BA44FB-56F4-0347-A17D-0A916D34DF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" i="1" l="1"/>
  <c r="E50" i="1"/>
  <c r="C50" i="1"/>
  <c r="E47" i="1"/>
  <c r="C47" i="1"/>
  <c r="E44" i="1"/>
  <c r="C44" i="1"/>
  <c r="C41" i="1"/>
  <c r="E38" i="1"/>
  <c r="C38" i="1"/>
  <c r="E34" i="1"/>
  <c r="O27" i="1" s="1"/>
  <c r="O28" i="1" s="1"/>
  <c r="Q13" i="1" s="1"/>
  <c r="C34" i="1"/>
  <c r="E33" i="1"/>
  <c r="D33" i="1"/>
  <c r="C33" i="1"/>
  <c r="C32" i="1"/>
  <c r="Q31" i="1"/>
  <c r="P31" i="1"/>
  <c r="C31" i="1"/>
  <c r="C30" i="1"/>
  <c r="C29" i="1"/>
  <c r="D28" i="1"/>
  <c r="C28" i="1"/>
  <c r="R23" i="1"/>
  <c r="X23" i="1" s="1"/>
  <c r="AD23" i="1" s="1"/>
  <c r="L23" i="1"/>
  <c r="L22" i="1"/>
  <c r="R22" i="1" s="1"/>
  <c r="X22" i="1" s="1"/>
  <c r="AD22" i="1" s="1"/>
  <c r="I22" i="1"/>
  <c r="E41" i="1" s="1"/>
  <c r="K19" i="1"/>
  <c r="Q19" i="1" s="1"/>
  <c r="W19" i="1" s="1"/>
  <c r="AC19" i="1" s="1"/>
  <c r="Z16" i="1"/>
  <c r="T16" i="1"/>
  <c r="H16" i="1"/>
  <c r="AD15" i="1"/>
  <c r="X15" i="1"/>
  <c r="R15" i="1"/>
  <c r="Z14" i="1"/>
  <c r="N14" i="1"/>
  <c r="K14" i="1"/>
  <c r="H14" i="1"/>
  <c r="AC13" i="1"/>
  <c r="W13" i="1"/>
  <c r="T13" i="1"/>
  <c r="Z13" i="1" s="1"/>
  <c r="Z12" i="1"/>
  <c r="K12" i="1"/>
  <c r="H12" i="1"/>
  <c r="Q11" i="1"/>
  <c r="W11" i="1" s="1"/>
  <c r="K11" i="1"/>
  <c r="H11" i="1"/>
  <c r="N11" i="1" s="1"/>
  <c r="T11" i="1" s="1"/>
  <c r="Z11" i="1" s="1"/>
  <c r="Z10" i="1"/>
  <c r="Q10" i="1"/>
  <c r="N10" i="1"/>
  <c r="K10" i="1"/>
  <c r="H10" i="1"/>
  <c r="C10" i="1"/>
  <c r="D10" i="1" s="1"/>
  <c r="V9" i="1"/>
  <c r="P9" i="1"/>
  <c r="J9" i="1"/>
  <c r="I4" i="1"/>
  <c r="J4" i="1" s="1"/>
  <c r="I3" i="1"/>
  <c r="J3" i="1" s="1"/>
  <c r="I2" i="1"/>
  <c r="J2" i="1" s="1"/>
  <c r="C11" i="1" l="1"/>
  <c r="F11" i="1" s="1"/>
  <c r="F10" i="1"/>
  <c r="AC11" i="1"/>
  <c r="J5" i="1"/>
  <c r="E9" i="1" s="1"/>
  <c r="O10" i="1"/>
  <c r="P10" i="1"/>
  <c r="I10" i="1"/>
  <c r="AB9" i="1"/>
  <c r="J10" i="1"/>
  <c r="U10" i="1"/>
  <c r="V10" i="1" s="1"/>
  <c r="U11" i="1" l="1"/>
  <c r="X11" i="1" s="1"/>
  <c r="X10" i="1"/>
  <c r="I11" i="1"/>
  <c r="L11" i="1" s="1"/>
  <c r="L10" i="1"/>
  <c r="AA10" i="1"/>
  <c r="AB10" i="1" s="1"/>
  <c r="D11" i="1"/>
  <c r="R10" i="1"/>
  <c r="O11" i="1"/>
  <c r="R11" i="1" s="1"/>
  <c r="K9" i="1"/>
  <c r="Q9" i="1"/>
  <c r="AA11" i="1" l="1"/>
  <c r="AD11" i="1" s="1"/>
  <c r="AD10" i="1"/>
  <c r="P11" i="1"/>
  <c r="W9" i="1"/>
  <c r="X9" i="1" s="1"/>
  <c r="L9" i="1"/>
  <c r="J11" i="1"/>
  <c r="C12" i="1"/>
  <c r="D12" i="1" s="1"/>
  <c r="AC9" i="1"/>
  <c r="AD9" i="1" s="1"/>
  <c r="R9" i="1"/>
  <c r="V11" i="1"/>
  <c r="C13" i="1" l="1"/>
  <c r="D13" i="1" s="1"/>
  <c r="F12" i="1"/>
  <c r="F13" i="1"/>
  <c r="I12" i="1"/>
  <c r="J12" i="1" s="1"/>
  <c r="U12" i="1"/>
  <c r="V12" i="1"/>
  <c r="P12" i="1"/>
  <c r="O12" i="1"/>
  <c r="AB11" i="1"/>
  <c r="L12" i="1" l="1"/>
  <c r="L13" i="1"/>
  <c r="I13" i="1"/>
  <c r="J13" i="1" s="1"/>
  <c r="C14" i="1"/>
  <c r="D14" i="1" s="1"/>
  <c r="AA12" i="1"/>
  <c r="AB12" i="1"/>
  <c r="R13" i="1"/>
  <c r="R12" i="1"/>
  <c r="O13" i="1"/>
  <c r="P13" i="1" s="1"/>
  <c r="U13" i="1"/>
  <c r="X12" i="1"/>
  <c r="X17" i="1" s="1"/>
  <c r="V13" i="1"/>
  <c r="X13" i="1"/>
  <c r="X14" i="1"/>
  <c r="C16" i="1" l="1"/>
  <c r="D16" i="1" s="1"/>
  <c r="F14" i="1"/>
  <c r="F17" i="1" s="1"/>
  <c r="I14" i="1"/>
  <c r="J14" i="1" s="1"/>
  <c r="O14" i="1"/>
  <c r="P14" i="1" s="1"/>
  <c r="V14" i="1"/>
  <c r="U14" i="1"/>
  <c r="AD12" i="1"/>
  <c r="AA13" i="1"/>
  <c r="AB13" i="1" s="1"/>
  <c r="AD13" i="1"/>
  <c r="AD14" i="1"/>
  <c r="AA14" i="1" l="1"/>
  <c r="AB14" i="1" s="1"/>
  <c r="P16" i="1"/>
  <c r="O16" i="1"/>
  <c r="L14" i="1"/>
  <c r="I16" i="1"/>
  <c r="J16" i="1" s="1"/>
  <c r="AD17" i="1"/>
  <c r="U16" i="1"/>
  <c r="V16" i="1" s="1"/>
  <c r="X18" i="1" s="1"/>
  <c r="F18" i="1"/>
  <c r="X19" i="1" l="1"/>
  <c r="X20" i="1"/>
  <c r="X21" i="1" s="1"/>
  <c r="C45" i="1" s="1"/>
  <c r="AA16" i="1"/>
  <c r="AB16" i="1"/>
  <c r="R14" i="1"/>
  <c r="R17" i="1" s="1"/>
  <c r="R18" i="1" s="1"/>
  <c r="L17" i="1"/>
  <c r="L18" i="1" s="1"/>
  <c r="AD18" i="1"/>
  <c r="F19" i="1"/>
  <c r="F20" i="1" s="1"/>
  <c r="F21" i="1" s="1"/>
  <c r="C36" i="1" s="1"/>
  <c r="D36" i="1" l="1"/>
  <c r="C37" i="1"/>
  <c r="D37" i="1" s="1"/>
  <c r="AD19" i="1"/>
  <c r="AD20" i="1"/>
  <c r="AD21" i="1" s="1"/>
  <c r="C48" i="1" s="1"/>
  <c r="L19" i="1"/>
  <c r="L20" i="1" s="1"/>
  <c r="L21" i="1" s="1"/>
  <c r="C39" i="1" s="1"/>
  <c r="R19" i="1"/>
  <c r="R20" i="1"/>
  <c r="R21" i="1" s="1"/>
  <c r="C42" i="1" s="1"/>
  <c r="C46" i="1"/>
  <c r="D46" i="1" s="1"/>
  <c r="D45" i="1"/>
  <c r="C40" i="1" l="1"/>
  <c r="D40" i="1" s="1"/>
  <c r="D39" i="1"/>
  <c r="D42" i="1"/>
  <c r="C43" i="1"/>
  <c r="D43" i="1" s="1"/>
  <c r="D48" i="1"/>
  <c r="C49" i="1"/>
  <c r="D49" i="1" s="1"/>
</calcChain>
</file>

<file path=xl/sharedStrings.xml><?xml version="1.0" encoding="utf-8"?>
<sst xmlns="http://schemas.openxmlformats.org/spreadsheetml/2006/main" count="139" uniqueCount="58">
  <si>
    <t>K 150</t>
  </si>
  <si>
    <t>Future Cozy Terry</t>
  </si>
  <si>
    <t>100% Cotton</t>
  </si>
  <si>
    <t>30'S</t>
  </si>
  <si>
    <t xml:space="preserve"> </t>
  </si>
  <si>
    <t>10'S</t>
  </si>
  <si>
    <t>US $ Rate</t>
  </si>
  <si>
    <t>PFD</t>
  </si>
  <si>
    <t>DYED</t>
  </si>
  <si>
    <t>PRINT</t>
  </si>
  <si>
    <t>YARN DYED FEEDER STRIPE</t>
  </si>
  <si>
    <t>YARN DYED AUTO STRIPE</t>
  </si>
  <si>
    <t>Yarn</t>
  </si>
  <si>
    <t>Knitting</t>
  </si>
  <si>
    <t>Dying</t>
  </si>
  <si>
    <t>Lycra</t>
  </si>
  <si>
    <t>Heat Set</t>
  </si>
  <si>
    <t>RFD</t>
  </si>
  <si>
    <t>Dyed</t>
  </si>
  <si>
    <t>Print</t>
  </si>
  <si>
    <t>CPL</t>
  </si>
  <si>
    <t>Washing</t>
  </si>
  <si>
    <t>Roll Charges</t>
  </si>
  <si>
    <t>End Palla</t>
  </si>
  <si>
    <t>Per Kg Rate</t>
  </si>
  <si>
    <t>Given</t>
  </si>
  <si>
    <t>MOQ</t>
  </si>
  <si>
    <t>300 Kgs</t>
  </si>
  <si>
    <t>GSM</t>
  </si>
  <si>
    <t>500 Kgs</t>
  </si>
  <si>
    <t>Lead Time</t>
  </si>
  <si>
    <t>20 Days</t>
  </si>
  <si>
    <t>Width</t>
  </si>
  <si>
    <t>25 Days</t>
  </si>
  <si>
    <t>35 Days</t>
  </si>
  <si>
    <t>45 Days</t>
  </si>
  <si>
    <t>50 Days</t>
  </si>
  <si>
    <t>FDS</t>
  </si>
  <si>
    <t>Sanya Ref</t>
  </si>
  <si>
    <t xml:space="preserve">Content </t>
  </si>
  <si>
    <t>Inch</t>
  </si>
  <si>
    <t>Yarn Count</t>
  </si>
  <si>
    <t>Yds In Kgs</t>
  </si>
  <si>
    <t>Mtr In Kg</t>
  </si>
  <si>
    <t>Available</t>
  </si>
  <si>
    <t>100 Kg</t>
  </si>
  <si>
    <t>PFD Price/kg</t>
  </si>
  <si>
    <t>PFD PRICE/YD</t>
  </si>
  <si>
    <t>PFD Lead Time</t>
  </si>
  <si>
    <t>Dyed Price/Kg</t>
  </si>
  <si>
    <t>Dyed Price/YD</t>
  </si>
  <si>
    <t>Dyed Lead Time</t>
  </si>
  <si>
    <t>Print Price/Kg</t>
  </si>
  <si>
    <t>Print Price/YD</t>
  </si>
  <si>
    <t>Print Lead Time</t>
  </si>
  <si>
    <t>YDYED/Kg (Fed)</t>
  </si>
  <si>
    <t>YDYED/YD</t>
  </si>
  <si>
    <t>YDYED/Kg (Auto)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</si>
</sst>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;@"/>
    <numFmt numFmtId="165" formatCode="&quot;₹&quot;\ #,##0.00"/>
    <numFmt numFmtId="166" formatCode="[$$-C09]#,##0.00"/>
    <numFmt numFmtId="167" formatCode="[$₹-439]#,##0.00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1" fillId="2" borderId="0" xfId="0" applyFont="1" applyFill="1"/>
    <xf numFmtId="9" fontId="0" fillId="2" borderId="0" xfId="0" applyNumberFormat="1" applyFill="1"/>
    <xf numFmtId="2" fontId="0" fillId="2" borderId="0" xfId="0" applyNumberFormat="1" applyFill="1"/>
    <xf numFmtId="2" fontId="0" fillId="0" borderId="0" xfId="0" applyNumberFormat="1"/>
    <xf numFmtId="9" fontId="0" fillId="0" borderId="0" xfId="0" applyNumberForma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0" borderId="3" xfId="0" applyNumberFormat="1" applyBorder="1"/>
    <xf numFmtId="0" fontId="0" fillId="0" borderId="5" xfId="0" applyBorder="1"/>
    <xf numFmtId="10" fontId="0" fillId="2" borderId="0" xfId="0" applyNumberFormat="1" applyFill="1"/>
    <xf numFmtId="0" fontId="0" fillId="0" borderId="6" xfId="0" applyBorder="1"/>
    <xf numFmtId="10" fontId="0" fillId="0" borderId="0" xfId="0" applyNumberFormat="1"/>
    <xf numFmtId="2" fontId="0" fillId="0" borderId="6" xfId="0" applyNumberFormat="1" applyBorder="1"/>
    <xf numFmtId="0" fontId="0" fillId="2" borderId="1" xfId="0" applyFill="1" applyBorder="1"/>
    <xf numFmtId="0" fontId="0" fillId="2" borderId="6" xfId="0" applyFill="1" applyBorder="1"/>
    <xf numFmtId="0" fontId="0" fillId="0" borderId="7" xfId="0" applyBorder="1"/>
    <xf numFmtId="0" fontId="0" fillId="2" borderId="8" xfId="0" applyFill="1" applyBorder="1"/>
    <xf numFmtId="0" fontId="0" fillId="0" borderId="9" xfId="0" applyBorder="1"/>
    <xf numFmtId="0" fontId="0" fillId="2" borderId="10" xfId="0" applyFill="1" applyBorder="1"/>
    <xf numFmtId="0" fontId="0" fillId="0" borderId="11" xfId="0" applyBorder="1"/>
    <xf numFmtId="0" fontId="0" fillId="0" borderId="10" xfId="0" applyBorder="1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0" fillId="0" borderId="12" xfId="0" applyBorder="1"/>
    <xf numFmtId="0" fontId="0" fillId="0" borderId="13" xfId="0" applyBorder="1"/>
    <xf numFmtId="0" fontId="3" fillId="0" borderId="0" xfId="0" applyFont="1"/>
    <xf numFmtId="2" fontId="0" fillId="0" borderId="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" xfId="0" applyFont="1" applyBorder="1"/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0" fillId="3" borderId="1" xfId="0" applyFill="1" applyBorder="1"/>
    <xf numFmtId="2" fontId="0" fillId="3" borderId="1" xfId="0" applyNumberFormat="1" applyFill="1" applyBorder="1" applyAlignment="1">
      <alignment horizontal="center"/>
    </xf>
    <xf numFmtId="0" fontId="0" fillId="4" borderId="1" xfId="0" applyFill="1" applyBorder="1"/>
    <xf numFmtId="0" fontId="3" fillId="3" borderId="1" xfId="0" applyFont="1" applyFill="1" applyBorder="1"/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B466-2BEC-3749-8514-7D6DC31EC095}">
  <dimension ref="A1:AD50"/>
  <sheetViews>
    <sheetView tabSelected="1" topLeftCell="A19" workbookViewId="0">
      <selection activeCell="G34" sqref="G34"/>
    </sheetView>
  </sheetViews>
  <sheetFormatPr defaultColWidth="8.875" defaultRowHeight="15.75" x14ac:dyDescent="0.25"/>
  <cols>
    <col min="1" max="1" width="17.125" bestFit="1" customWidth="1"/>
    <col min="2" max="2" width="15.125" bestFit="1" customWidth="1"/>
    <col min="3" max="3" width="11.375" bestFit="1" customWidth="1"/>
    <col min="6" max="6" width="11.875" bestFit="1" customWidth="1"/>
    <col min="7" max="7" width="13.5" bestFit="1" customWidth="1"/>
    <col min="8" max="8" width="11.875" customWidth="1"/>
    <col min="12" max="12" width="11.875" bestFit="1" customWidth="1"/>
    <col min="18" max="18" width="12.125" bestFit="1" customWidth="1"/>
  </cols>
  <sheetData>
    <row r="1" spans="1:30" x14ac:dyDescent="0.25">
      <c r="A1" s="1" t="s">
        <v>0</v>
      </c>
      <c r="B1" s="48" t="s">
        <v>1</v>
      </c>
      <c r="C1" s="48"/>
      <c r="D1" s="48"/>
    </row>
    <row r="2" spans="1:30" x14ac:dyDescent="0.25">
      <c r="A2" s="1" t="s">
        <v>2</v>
      </c>
      <c r="B2" s="2" t="s">
        <v>0</v>
      </c>
      <c r="E2" s="1" t="s">
        <v>3</v>
      </c>
      <c r="F2" s="3">
        <v>0.35</v>
      </c>
      <c r="G2" s="4">
        <v>390</v>
      </c>
      <c r="H2" s="5">
        <v>5</v>
      </c>
      <c r="I2" s="5">
        <f>+G2+H2</f>
        <v>395</v>
      </c>
      <c r="J2">
        <f>+F2*I2</f>
        <v>138.25</v>
      </c>
      <c r="M2" s="6" t="s">
        <v>4</v>
      </c>
    </row>
    <row r="3" spans="1:30" x14ac:dyDescent="0.25">
      <c r="E3" s="1" t="s">
        <v>3</v>
      </c>
      <c r="F3" s="3">
        <v>0.35</v>
      </c>
      <c r="G3" s="4">
        <v>390</v>
      </c>
      <c r="H3" s="5">
        <v>5</v>
      </c>
      <c r="I3" s="5">
        <f>+G3+H3</f>
        <v>395</v>
      </c>
      <c r="J3">
        <f>+F3*I3</f>
        <v>138.25</v>
      </c>
      <c r="M3" s="6"/>
    </row>
    <row r="4" spans="1:30" x14ac:dyDescent="0.25">
      <c r="A4" t="s">
        <v>4</v>
      </c>
      <c r="E4" s="1" t="s">
        <v>5</v>
      </c>
      <c r="F4" s="3">
        <v>0.3</v>
      </c>
      <c r="G4" s="4">
        <v>360</v>
      </c>
      <c r="H4" s="5">
        <v>5</v>
      </c>
      <c r="I4" s="5">
        <f>+G4+H4</f>
        <v>365</v>
      </c>
      <c r="J4">
        <f>+F4*I4</f>
        <v>109.5</v>
      </c>
      <c r="M4" s="6" t="s">
        <v>4</v>
      </c>
    </row>
    <row r="5" spans="1:30" x14ac:dyDescent="0.25">
      <c r="A5" s="6" t="s">
        <v>4</v>
      </c>
      <c r="B5" t="s">
        <v>4</v>
      </c>
      <c r="D5" s="6"/>
      <c r="J5">
        <f>SUM(J2:J4)</f>
        <v>386</v>
      </c>
    </row>
    <row r="6" spans="1:30" x14ac:dyDescent="0.25">
      <c r="A6" t="s">
        <v>6</v>
      </c>
      <c r="B6">
        <v>70</v>
      </c>
      <c r="D6" s="6"/>
    </row>
    <row r="8" spans="1:30" ht="19.5" thickBot="1" x14ac:dyDescent="0.35">
      <c r="A8" s="7" t="s">
        <v>7</v>
      </c>
      <c r="H8" s="7" t="s">
        <v>8</v>
      </c>
      <c r="N8" s="7" t="s">
        <v>9</v>
      </c>
      <c r="T8" s="7" t="s">
        <v>10</v>
      </c>
      <c r="Z8" s="7" t="s">
        <v>11</v>
      </c>
    </row>
    <row r="9" spans="1:30" x14ac:dyDescent="0.25">
      <c r="A9" s="8" t="s">
        <v>12</v>
      </c>
      <c r="B9" s="9"/>
      <c r="C9" s="9"/>
      <c r="D9" s="9">
        <v>1000</v>
      </c>
      <c r="E9" s="9">
        <f>+J5</f>
        <v>386</v>
      </c>
      <c r="F9" s="10">
        <f>+D9*E9</f>
        <v>386000</v>
      </c>
      <c r="G9" s="9" t="s">
        <v>12</v>
      </c>
      <c r="H9" s="9"/>
      <c r="I9" s="9"/>
      <c r="J9" s="11">
        <f>+D9</f>
        <v>1000</v>
      </c>
      <c r="K9" s="11">
        <f>+E9</f>
        <v>386</v>
      </c>
      <c r="L9" s="9">
        <f>+J9*K9</f>
        <v>386000</v>
      </c>
      <c r="M9" s="8" t="s">
        <v>12</v>
      </c>
      <c r="N9" s="9"/>
      <c r="O9" s="9"/>
      <c r="P9" s="9">
        <f>+D9</f>
        <v>1000</v>
      </c>
      <c r="Q9" s="9">
        <f t="shared" ref="Q9" si="0">+E9</f>
        <v>386</v>
      </c>
      <c r="R9" s="10">
        <f>+P9*Q9</f>
        <v>386000</v>
      </c>
      <c r="S9" s="9" t="s">
        <v>12</v>
      </c>
      <c r="T9" s="9"/>
      <c r="U9" s="9"/>
      <c r="V9" s="9">
        <f>+J9</f>
        <v>1000</v>
      </c>
      <c r="W9" s="9">
        <f t="shared" ref="W9" si="1">+K9</f>
        <v>386</v>
      </c>
      <c r="X9" s="9">
        <f>+V9*W9</f>
        <v>386000</v>
      </c>
      <c r="Y9" s="8" t="s">
        <v>12</v>
      </c>
      <c r="Z9" s="9"/>
      <c r="AA9" s="9"/>
      <c r="AB9" s="9">
        <f>+P9</f>
        <v>1000</v>
      </c>
      <c r="AC9" s="9">
        <f t="shared" ref="AC9" si="2">+Q9</f>
        <v>386</v>
      </c>
      <c r="AD9" s="10">
        <f>+AB9*AC9</f>
        <v>386000</v>
      </c>
    </row>
    <row r="10" spans="1:30" x14ac:dyDescent="0.25">
      <c r="A10" s="12" t="s">
        <v>13</v>
      </c>
      <c r="B10" s="13">
        <v>1.4999999999999999E-2</v>
      </c>
      <c r="C10" s="5">
        <f>+D9*B10</f>
        <v>15</v>
      </c>
      <c r="D10" s="5">
        <f>+D9-C10</f>
        <v>985</v>
      </c>
      <c r="E10" s="1">
        <v>30</v>
      </c>
      <c r="F10" s="14">
        <f>+D10*E10</f>
        <v>29550</v>
      </c>
      <c r="G10" t="s">
        <v>13</v>
      </c>
      <c r="H10" s="15">
        <f>+B10</f>
        <v>1.4999999999999999E-2</v>
      </c>
      <c r="I10" s="5">
        <f>+J9*H10</f>
        <v>15</v>
      </c>
      <c r="J10" s="5">
        <f>+J9-I10</f>
        <v>985</v>
      </c>
      <c r="K10" s="5">
        <f t="shared" ref="K10:K14" si="3">+E10</f>
        <v>30</v>
      </c>
      <c r="L10">
        <f>+J10*K10</f>
        <v>29550</v>
      </c>
      <c r="M10" s="12" t="s">
        <v>13</v>
      </c>
      <c r="N10" s="15">
        <f>+H10</f>
        <v>1.4999999999999999E-2</v>
      </c>
      <c r="O10" s="5">
        <f>+P9*N10</f>
        <v>15</v>
      </c>
      <c r="P10" s="5">
        <f>+P9-O10</f>
        <v>985</v>
      </c>
      <c r="Q10" s="5">
        <f t="shared" ref="Q10:R14" si="4">+K10</f>
        <v>30</v>
      </c>
      <c r="R10" s="14">
        <f>+P10*Q10</f>
        <v>29550</v>
      </c>
      <c r="S10" t="s">
        <v>14</v>
      </c>
      <c r="T10" s="13">
        <v>0.04</v>
      </c>
      <c r="U10" s="5">
        <f>+V9*T10</f>
        <v>40</v>
      </c>
      <c r="V10" s="5">
        <f>+V9-U10</f>
        <v>960</v>
      </c>
      <c r="W10" s="4">
        <v>130</v>
      </c>
      <c r="X10">
        <f>+V10*W10</f>
        <v>124800</v>
      </c>
      <c r="Y10" s="12" t="s">
        <v>14</v>
      </c>
      <c r="Z10" s="15">
        <f>+T10</f>
        <v>0.04</v>
      </c>
      <c r="AA10" s="5">
        <f>+AB9*Z10</f>
        <v>40</v>
      </c>
      <c r="AB10" s="5">
        <f>+AB9-AA10</f>
        <v>960</v>
      </c>
      <c r="AC10" s="5">
        <v>130</v>
      </c>
      <c r="AD10" s="14">
        <f>+AB10*AC10</f>
        <v>124800</v>
      </c>
    </row>
    <row r="11" spans="1:30" x14ac:dyDescent="0.25">
      <c r="A11" s="12" t="s">
        <v>15</v>
      </c>
      <c r="B11" s="3">
        <v>0</v>
      </c>
      <c r="C11">
        <f>+D10*B11</f>
        <v>0</v>
      </c>
      <c r="D11" s="5">
        <f>+D10+C11</f>
        <v>985</v>
      </c>
      <c r="E11" s="1">
        <v>0</v>
      </c>
      <c r="F11" s="14">
        <f>+C11*E11</f>
        <v>0</v>
      </c>
      <c r="G11" t="s">
        <v>15</v>
      </c>
      <c r="H11" s="15">
        <f t="shared" ref="H11:H12" si="5">+B11</f>
        <v>0</v>
      </c>
      <c r="I11">
        <f>+J10*H11</f>
        <v>0</v>
      </c>
      <c r="J11" s="5">
        <f>+J10+I11</f>
        <v>985</v>
      </c>
      <c r="K11" s="5">
        <f t="shared" si="3"/>
        <v>0</v>
      </c>
      <c r="L11">
        <f>+I11*K11</f>
        <v>0</v>
      </c>
      <c r="M11" s="12" t="s">
        <v>15</v>
      </c>
      <c r="N11" s="15">
        <f t="shared" ref="N11" si="6">+H11</f>
        <v>0</v>
      </c>
      <c r="O11">
        <f>+P10*N11</f>
        <v>0</v>
      </c>
      <c r="P11" s="5">
        <f>+P10+O11</f>
        <v>985</v>
      </c>
      <c r="Q11" s="5">
        <f t="shared" si="4"/>
        <v>0</v>
      </c>
      <c r="R11" s="14">
        <f>+O11*Q11</f>
        <v>0</v>
      </c>
      <c r="S11" t="s">
        <v>15</v>
      </c>
      <c r="T11" s="15">
        <f>+N11</f>
        <v>0</v>
      </c>
      <c r="U11">
        <f>+V10*T11</f>
        <v>0</v>
      </c>
      <c r="V11" s="5">
        <f>+V10+U11</f>
        <v>960</v>
      </c>
      <c r="W11" s="5">
        <f>+Q11</f>
        <v>0</v>
      </c>
      <c r="X11">
        <f>+W11*U11</f>
        <v>0</v>
      </c>
      <c r="Y11" s="12" t="s">
        <v>15</v>
      </c>
      <c r="Z11" s="15">
        <f>+T11</f>
        <v>0</v>
      </c>
      <c r="AA11">
        <f>+AB10*Z11</f>
        <v>0</v>
      </c>
      <c r="AB11" s="5">
        <f>+AB10+AA11</f>
        <v>960</v>
      </c>
      <c r="AC11" s="5">
        <f>+W11</f>
        <v>0</v>
      </c>
      <c r="AD11" s="14">
        <f>+AC11*AA11</f>
        <v>0</v>
      </c>
    </row>
    <row r="12" spans="1:30" x14ac:dyDescent="0.25">
      <c r="A12" s="12" t="s">
        <v>16</v>
      </c>
      <c r="B12" s="3">
        <v>0</v>
      </c>
      <c r="C12">
        <f>+D11*B12</f>
        <v>0</v>
      </c>
      <c r="D12" s="5">
        <f>+D11-C12</f>
        <v>985</v>
      </c>
      <c r="E12" s="1">
        <v>0</v>
      </c>
      <c r="F12" s="14">
        <f>+D12*E12</f>
        <v>0</v>
      </c>
      <c r="G12" t="s">
        <v>16</v>
      </c>
      <c r="H12" s="15">
        <f t="shared" si="5"/>
        <v>0</v>
      </c>
      <c r="I12">
        <f>+J11*H12</f>
        <v>0</v>
      </c>
      <c r="J12" s="5">
        <f>+J11-I12</f>
        <v>985</v>
      </c>
      <c r="K12" s="5">
        <f t="shared" si="3"/>
        <v>0</v>
      </c>
      <c r="L12">
        <f>+J12*K12</f>
        <v>0</v>
      </c>
      <c r="M12" s="12" t="s">
        <v>16</v>
      </c>
      <c r="N12" s="15">
        <v>0.08</v>
      </c>
      <c r="O12">
        <f>+P11*N12</f>
        <v>78.8</v>
      </c>
      <c r="P12" s="5">
        <f>+P11-O12</f>
        <v>906.2</v>
      </c>
      <c r="Q12" s="5">
        <v>60</v>
      </c>
      <c r="R12" s="14">
        <f>+P12*Q12</f>
        <v>54372</v>
      </c>
      <c r="S12" t="s">
        <v>13</v>
      </c>
      <c r="T12" s="13">
        <v>0.05</v>
      </c>
      <c r="U12">
        <f>+V11*T12</f>
        <v>48</v>
      </c>
      <c r="V12" s="5">
        <f>+V11-U12</f>
        <v>912</v>
      </c>
      <c r="W12" s="4">
        <v>50</v>
      </c>
      <c r="X12">
        <f>+V12*W12</f>
        <v>45600</v>
      </c>
      <c r="Y12" s="12" t="s">
        <v>13</v>
      </c>
      <c r="Z12" s="15">
        <f>+T12</f>
        <v>0.05</v>
      </c>
      <c r="AA12">
        <f>+AB11*Z12</f>
        <v>48</v>
      </c>
      <c r="AB12" s="5">
        <f>+AB11-AA12</f>
        <v>912</v>
      </c>
      <c r="AC12" s="4">
        <v>250</v>
      </c>
      <c r="AD12" s="14">
        <f>+AB12*AC12</f>
        <v>228000</v>
      </c>
    </row>
    <row r="13" spans="1:30" x14ac:dyDescent="0.25">
      <c r="A13" s="12" t="s">
        <v>17</v>
      </c>
      <c r="B13" s="3">
        <v>0.08</v>
      </c>
      <c r="C13">
        <f>+D12*B13</f>
        <v>78.8</v>
      </c>
      <c r="D13" s="5">
        <f>+D12-C13</f>
        <v>906.2</v>
      </c>
      <c r="E13" s="1">
        <v>60</v>
      </c>
      <c r="F13" s="14">
        <f>+D12*E13</f>
        <v>59100</v>
      </c>
      <c r="G13" t="s">
        <v>18</v>
      </c>
      <c r="H13" s="13">
        <v>0.1</v>
      </c>
      <c r="I13">
        <f>+J12*H13</f>
        <v>98.5</v>
      </c>
      <c r="J13" s="5">
        <f>+J12-I13</f>
        <v>886.5</v>
      </c>
      <c r="K13" s="4">
        <v>150</v>
      </c>
      <c r="L13">
        <f>+J12*K13</f>
        <v>147750</v>
      </c>
      <c r="M13" s="12" t="s">
        <v>19</v>
      </c>
      <c r="N13" s="3">
        <v>0.12</v>
      </c>
      <c r="O13">
        <f>+P12*N13</f>
        <v>108.744</v>
      </c>
      <c r="P13" s="5">
        <f>+P12-O13</f>
        <v>797.45600000000002</v>
      </c>
      <c r="Q13" s="1">
        <f>O28</f>
        <v>329.65376935538563</v>
      </c>
      <c r="R13" s="14">
        <f>+P12*Q13</f>
        <v>298732.24578985048</v>
      </c>
      <c r="S13" t="s">
        <v>16</v>
      </c>
      <c r="T13" s="6">
        <f>+N12</f>
        <v>0.08</v>
      </c>
      <c r="U13">
        <f>+V12*T13</f>
        <v>72.960000000000008</v>
      </c>
      <c r="V13" s="5">
        <f>+V12-U13</f>
        <v>839.04</v>
      </c>
      <c r="W13" s="5">
        <f>+Q12</f>
        <v>60</v>
      </c>
      <c r="X13">
        <f>+V12*W13</f>
        <v>54720</v>
      </c>
      <c r="Y13" s="12" t="s">
        <v>16</v>
      </c>
      <c r="Z13" s="6">
        <f>+T13</f>
        <v>0.08</v>
      </c>
      <c r="AA13">
        <f>+AB12*Z13</f>
        <v>72.960000000000008</v>
      </c>
      <c r="AB13" s="5">
        <f>+AB12-AA13</f>
        <v>839.04</v>
      </c>
      <c r="AC13">
        <f>+W13</f>
        <v>60</v>
      </c>
      <c r="AD13" s="14">
        <f>+AB12*AC13</f>
        <v>54720</v>
      </c>
    </row>
    <row r="14" spans="1:30" x14ac:dyDescent="0.25">
      <c r="A14" s="12" t="s">
        <v>20</v>
      </c>
      <c r="B14" s="3">
        <v>0</v>
      </c>
      <c r="C14">
        <f>+D13*B14</f>
        <v>0</v>
      </c>
      <c r="D14" s="5">
        <f>+D13-C14</f>
        <v>906.2</v>
      </c>
      <c r="E14" s="1">
        <v>0</v>
      </c>
      <c r="F14" s="14">
        <f>+D14*E14</f>
        <v>0</v>
      </c>
      <c r="G14" t="s">
        <v>20</v>
      </c>
      <c r="H14" s="15">
        <f>+B14</f>
        <v>0</v>
      </c>
      <c r="I14">
        <f>+J13*H14</f>
        <v>0</v>
      </c>
      <c r="J14" s="5">
        <f>+J13-I14</f>
        <v>886.5</v>
      </c>
      <c r="K14" s="5">
        <f t="shared" si="3"/>
        <v>0</v>
      </c>
      <c r="L14">
        <f>+J14*K14</f>
        <v>0</v>
      </c>
      <c r="M14" s="12" t="s">
        <v>20</v>
      </c>
      <c r="N14" s="15">
        <f>+H14</f>
        <v>0</v>
      </c>
      <c r="O14">
        <f>+P13*N14</f>
        <v>0</v>
      </c>
      <c r="P14" s="5">
        <f>+P13-O14</f>
        <v>797.45600000000002</v>
      </c>
      <c r="R14" s="16">
        <f t="shared" si="4"/>
        <v>0</v>
      </c>
      <c r="S14" t="s">
        <v>21</v>
      </c>
      <c r="T14" s="3">
        <v>0.03</v>
      </c>
      <c r="U14">
        <f>+V13*T14</f>
        <v>25.171199999999999</v>
      </c>
      <c r="V14" s="5">
        <f>+V13</f>
        <v>839.04</v>
      </c>
      <c r="W14" s="4">
        <v>35</v>
      </c>
      <c r="X14">
        <f>+V12*W14</f>
        <v>31920</v>
      </c>
      <c r="Y14" s="12" t="s">
        <v>21</v>
      </c>
      <c r="Z14" s="6">
        <f>+T14</f>
        <v>0.03</v>
      </c>
      <c r="AA14">
        <f>+AB13*Z14</f>
        <v>25.171199999999999</v>
      </c>
      <c r="AB14" s="5">
        <f>+AB13-AA14</f>
        <v>813.86879999999996</v>
      </c>
      <c r="AC14" s="5">
        <v>35</v>
      </c>
      <c r="AD14" s="14">
        <f>+AB12*AC14</f>
        <v>31920</v>
      </c>
    </row>
    <row r="15" spans="1:30" x14ac:dyDescent="0.25">
      <c r="A15" s="12"/>
      <c r="F15" s="14" t="s">
        <v>4</v>
      </c>
      <c r="M15" s="12"/>
      <c r="N15" t="s">
        <v>22</v>
      </c>
      <c r="P15" s="1">
        <v>0</v>
      </c>
      <c r="Q15">
        <v>5000</v>
      </c>
      <c r="R15" s="16">
        <f>+P15*Q15</f>
        <v>0</v>
      </c>
      <c r="T15" t="s">
        <v>4</v>
      </c>
      <c r="V15">
        <v>0</v>
      </c>
      <c r="W15">
        <v>0</v>
      </c>
      <c r="X15" s="5">
        <f>+V15*W15</f>
        <v>0</v>
      </c>
      <c r="Y15" s="12"/>
      <c r="Z15" t="s">
        <v>4</v>
      </c>
      <c r="AB15">
        <v>0</v>
      </c>
      <c r="AC15">
        <v>0</v>
      </c>
      <c r="AD15" s="16">
        <f>+AB15*AC15</f>
        <v>0</v>
      </c>
    </row>
    <row r="16" spans="1:30" x14ac:dyDescent="0.25">
      <c r="A16" s="12" t="s">
        <v>23</v>
      </c>
      <c r="B16" s="3">
        <v>0</v>
      </c>
      <c r="C16">
        <f>+D14*B16</f>
        <v>0</v>
      </c>
      <c r="D16" s="5">
        <f>+D14-C16</f>
        <v>906.2</v>
      </c>
      <c r="F16" s="14"/>
      <c r="G16" t="s">
        <v>23</v>
      </c>
      <c r="H16" s="6">
        <f>B16</f>
        <v>0</v>
      </c>
      <c r="I16">
        <f>+J14*H16</f>
        <v>0</v>
      </c>
      <c r="J16" s="5">
        <f>+J14-I16</f>
        <v>886.5</v>
      </c>
      <c r="K16" s="5" t="s">
        <v>4</v>
      </c>
      <c r="L16" s="5" t="s">
        <v>4</v>
      </c>
      <c r="M16" s="12" t="s">
        <v>23</v>
      </c>
      <c r="N16" s="6">
        <v>0.03</v>
      </c>
      <c r="O16">
        <f>+P14*N16</f>
        <v>23.923680000000001</v>
      </c>
      <c r="P16" s="5">
        <f>+P14-O16</f>
        <v>773.53232000000003</v>
      </c>
      <c r="R16" s="14"/>
      <c r="S16" t="s">
        <v>23</v>
      </c>
      <c r="T16" s="6">
        <f>+N16</f>
        <v>0.03</v>
      </c>
      <c r="U16">
        <f>+V14*T16</f>
        <v>25.171199999999999</v>
      </c>
      <c r="V16" s="5">
        <f>+V14-U16</f>
        <v>813.86879999999996</v>
      </c>
      <c r="Y16" s="12" t="s">
        <v>23</v>
      </c>
      <c r="Z16" s="6">
        <f>+T16</f>
        <v>0.03</v>
      </c>
      <c r="AA16">
        <f>+AB14*Z16</f>
        <v>24.416063999999999</v>
      </c>
      <c r="AB16" s="5">
        <f>+AB14-AA16</f>
        <v>789.45273599999996</v>
      </c>
      <c r="AD16" s="14"/>
    </row>
    <row r="17" spans="1:30" x14ac:dyDescent="0.25">
      <c r="A17" s="12"/>
      <c r="F17" s="14">
        <f>SUM(F9:F16)</f>
        <v>474650</v>
      </c>
      <c r="L17">
        <f>SUM(L9:L16)</f>
        <v>563300</v>
      </c>
      <c r="M17" s="12"/>
      <c r="R17" s="14">
        <f>SUM(R9:R16)</f>
        <v>768654.24578985048</v>
      </c>
      <c r="X17">
        <f>SUM(X9:X16)</f>
        <v>643040</v>
      </c>
      <c r="Y17" s="12"/>
      <c r="AD17" s="14">
        <f>SUM(AD9:AD16)</f>
        <v>825440</v>
      </c>
    </row>
    <row r="18" spans="1:30" x14ac:dyDescent="0.25">
      <c r="A18" s="12" t="s">
        <v>24</v>
      </c>
      <c r="F18" s="16">
        <f>+F17/D16</f>
        <v>523.78062237916572</v>
      </c>
      <c r="G18" t="s">
        <v>24</v>
      </c>
      <c r="L18">
        <f>+L17/J16</f>
        <v>635.4201917653694</v>
      </c>
      <c r="M18" s="12" t="s">
        <v>24</v>
      </c>
      <c r="R18" s="14">
        <f>+R17/P16</f>
        <v>993.69376807662081</v>
      </c>
      <c r="S18" t="s">
        <v>24</v>
      </c>
      <c r="X18">
        <f>+X17/V16</f>
        <v>790.10277823649221</v>
      </c>
      <c r="Y18" s="12" t="s">
        <v>24</v>
      </c>
      <c r="AD18" s="14">
        <f>+AD17/AB16</f>
        <v>1045.5850773060085</v>
      </c>
    </row>
    <row r="19" spans="1:30" x14ac:dyDescent="0.25">
      <c r="A19" s="12"/>
      <c r="E19" s="3">
        <v>0</v>
      </c>
      <c r="F19" s="16">
        <f>+F18*E19</f>
        <v>0</v>
      </c>
      <c r="G19" s="5"/>
      <c r="H19" s="5"/>
      <c r="K19" s="6">
        <f>+E19</f>
        <v>0</v>
      </c>
      <c r="L19" s="5">
        <f>+L18*K19</f>
        <v>0</v>
      </c>
      <c r="M19" s="12"/>
      <c r="Q19" s="6">
        <f>+K19</f>
        <v>0</v>
      </c>
      <c r="R19" s="16">
        <f>+R18*Q19</f>
        <v>0</v>
      </c>
      <c r="W19" s="6">
        <f>+Q19</f>
        <v>0</v>
      </c>
      <c r="X19" s="5">
        <f>+X18*W19</f>
        <v>0</v>
      </c>
      <c r="Y19" s="12"/>
      <c r="AC19" s="6">
        <f>+W19</f>
        <v>0</v>
      </c>
      <c r="AD19" s="16">
        <f>+AD18*AC19</f>
        <v>0</v>
      </c>
    </row>
    <row r="20" spans="1:30" x14ac:dyDescent="0.25">
      <c r="A20" s="12"/>
      <c r="F20" s="16">
        <f>+F18+F19</f>
        <v>523.78062237916572</v>
      </c>
      <c r="G20" s="5"/>
      <c r="H20" s="5"/>
      <c r="I20" t="s">
        <v>4</v>
      </c>
      <c r="J20" t="s">
        <v>4</v>
      </c>
      <c r="L20" s="5">
        <f>+L18+L19</f>
        <v>635.4201917653694</v>
      </c>
      <c r="M20" s="12"/>
      <c r="R20" s="16">
        <f>+R18+R19</f>
        <v>993.69376807662081</v>
      </c>
      <c r="X20" s="5">
        <f>+X18+X19</f>
        <v>790.10277823649221</v>
      </c>
      <c r="Y20" s="12"/>
      <c r="AD20" s="16">
        <f>+AD18+AD19</f>
        <v>1045.5850773060085</v>
      </c>
    </row>
    <row r="21" spans="1:30" x14ac:dyDescent="0.25">
      <c r="A21" s="12"/>
      <c r="E21" t="s">
        <v>25</v>
      </c>
      <c r="F21" s="16">
        <f>CEILING(F20,5)</f>
        <v>525</v>
      </c>
      <c r="G21" s="5"/>
      <c r="H21" s="5"/>
      <c r="K21" t="s">
        <v>25</v>
      </c>
      <c r="L21" s="16">
        <f>CEILING(L20,5)</f>
        <v>640</v>
      </c>
      <c r="M21" s="12"/>
      <c r="Q21" t="s">
        <v>25</v>
      </c>
      <c r="R21" s="16">
        <f>CEILING(R20,5)</f>
        <v>995</v>
      </c>
      <c r="W21" t="s">
        <v>25</v>
      </c>
      <c r="X21" s="16">
        <f>CEILING(X20,5)</f>
        <v>795</v>
      </c>
      <c r="Y21" s="12"/>
      <c r="AC21" t="s">
        <v>25</v>
      </c>
      <c r="AD21" s="16">
        <f>CEILING(AD20,5)</f>
        <v>1050</v>
      </c>
    </row>
    <row r="22" spans="1:30" x14ac:dyDescent="0.25">
      <c r="A22" s="12"/>
      <c r="B22" s="17" t="s">
        <v>26</v>
      </c>
      <c r="C22" s="17" t="s">
        <v>27</v>
      </c>
      <c r="E22" s="6" t="s">
        <v>28</v>
      </c>
      <c r="F22" s="18">
        <v>330</v>
      </c>
      <c r="H22" s="17" t="s">
        <v>26</v>
      </c>
      <c r="I22" s="17" t="str">
        <f>+C22</f>
        <v>300 Kgs</v>
      </c>
      <c r="K22" s="6" t="s">
        <v>28</v>
      </c>
      <c r="L22">
        <f>+F22</f>
        <v>330</v>
      </c>
      <c r="M22" s="12"/>
      <c r="N22" s="17" t="s">
        <v>26</v>
      </c>
      <c r="O22" s="17" t="s">
        <v>29</v>
      </c>
      <c r="Q22" s="6" t="s">
        <v>28</v>
      </c>
      <c r="R22" s="14">
        <f>+L22</f>
        <v>330</v>
      </c>
      <c r="T22" s="17" t="s">
        <v>26</v>
      </c>
      <c r="U22" s="17" t="s">
        <v>29</v>
      </c>
      <c r="W22" s="6" t="s">
        <v>28</v>
      </c>
      <c r="X22">
        <f>+R22</f>
        <v>330</v>
      </c>
      <c r="Y22" s="12"/>
      <c r="Z22" s="17" t="s">
        <v>26</v>
      </c>
      <c r="AA22" s="17" t="s">
        <v>29</v>
      </c>
      <c r="AC22" s="6" t="s">
        <v>28</v>
      </c>
      <c r="AD22" s="14">
        <f>+X22</f>
        <v>330</v>
      </c>
    </row>
    <row r="23" spans="1:30" ht="16.5" thickBot="1" x14ac:dyDescent="0.3">
      <c r="A23" s="19"/>
      <c r="B23" s="20" t="s">
        <v>30</v>
      </c>
      <c r="C23" s="20" t="s">
        <v>31</v>
      </c>
      <c r="D23" s="21"/>
      <c r="E23" s="21" t="s">
        <v>32</v>
      </c>
      <c r="F23" s="22">
        <v>76</v>
      </c>
      <c r="G23" s="23"/>
      <c r="H23" s="17" t="s">
        <v>30</v>
      </c>
      <c r="I23" s="17" t="s">
        <v>33</v>
      </c>
      <c r="J23" s="23"/>
      <c r="K23" s="23" t="s">
        <v>32</v>
      </c>
      <c r="L23" s="23">
        <f>+F23</f>
        <v>76</v>
      </c>
      <c r="M23" s="19"/>
      <c r="N23" s="20" t="s">
        <v>30</v>
      </c>
      <c r="O23" s="20" t="s">
        <v>34</v>
      </c>
      <c r="P23" s="21"/>
      <c r="Q23" s="21" t="s">
        <v>32</v>
      </c>
      <c r="R23" s="24">
        <f>+L23</f>
        <v>76</v>
      </c>
      <c r="S23" s="23"/>
      <c r="T23" s="17" t="s">
        <v>30</v>
      </c>
      <c r="U23" s="17" t="s">
        <v>35</v>
      </c>
      <c r="V23" s="23"/>
      <c r="W23" s="23" t="s">
        <v>32</v>
      </c>
      <c r="X23" s="23">
        <f>+R23</f>
        <v>76</v>
      </c>
      <c r="Y23" s="19"/>
      <c r="Z23" s="20" t="s">
        <v>30</v>
      </c>
      <c r="AA23" s="20" t="s">
        <v>36</v>
      </c>
      <c r="AB23" s="21"/>
      <c r="AC23" s="21" t="s">
        <v>32</v>
      </c>
      <c r="AD23" s="24">
        <f>+X23</f>
        <v>76</v>
      </c>
    </row>
    <row r="26" spans="1:30" x14ac:dyDescent="0.25">
      <c r="O26">
        <v>210</v>
      </c>
    </row>
    <row r="27" spans="1:30" ht="18.75" x14ac:dyDescent="0.25">
      <c r="C27" s="25" t="s">
        <v>37</v>
      </c>
      <c r="D27" s="49">
        <v>44635</v>
      </c>
      <c r="E27" s="49"/>
      <c r="O27" s="5">
        <f>E34</f>
        <v>1.569779854073265</v>
      </c>
    </row>
    <row r="28" spans="1:30" x14ac:dyDescent="0.25">
      <c r="B28" s="26" t="s">
        <v>38</v>
      </c>
      <c r="C28" s="26" t="str">
        <f>+A1</f>
        <v>K 150</v>
      </c>
      <c r="D28" s="50" t="str">
        <f>+B2</f>
        <v>K 150</v>
      </c>
      <c r="E28" s="51"/>
      <c r="O28">
        <f>O26*O27</f>
        <v>329.65376935538563</v>
      </c>
    </row>
    <row r="29" spans="1:30" x14ac:dyDescent="0.25">
      <c r="B29" s="44" t="s">
        <v>37</v>
      </c>
      <c r="C29" s="52" t="str">
        <f>+B1</f>
        <v>Future Cozy Terry</v>
      </c>
      <c r="D29" s="52"/>
      <c r="E29" s="52"/>
      <c r="G29" s="6"/>
      <c r="P29">
        <v>1.3</v>
      </c>
      <c r="Q29">
        <v>0.5</v>
      </c>
    </row>
    <row r="30" spans="1:30" x14ac:dyDescent="0.25">
      <c r="B30" s="44" t="s">
        <v>39</v>
      </c>
      <c r="C30" s="53" t="str">
        <f>+A2</f>
        <v>100% Cotton</v>
      </c>
      <c r="D30" s="52"/>
      <c r="E30" s="52"/>
      <c r="P30">
        <v>300</v>
      </c>
      <c r="Q30">
        <v>300</v>
      </c>
    </row>
    <row r="31" spans="1:30" x14ac:dyDescent="0.25">
      <c r="B31" s="44" t="s">
        <v>28</v>
      </c>
      <c r="C31" s="27">
        <f>F22</f>
        <v>330</v>
      </c>
      <c r="D31" s="26" t="s">
        <v>4</v>
      </c>
      <c r="E31" s="28" t="s">
        <v>4</v>
      </c>
      <c r="G31" s="29" t="s">
        <v>4</v>
      </c>
      <c r="H31" s="29"/>
      <c r="P31">
        <f>P29*P30</f>
        <v>390</v>
      </c>
      <c r="Q31">
        <f>Q29*Q30</f>
        <v>150</v>
      </c>
    </row>
    <row r="32" spans="1:30" x14ac:dyDescent="0.25">
      <c r="B32" s="44" t="s">
        <v>32</v>
      </c>
      <c r="C32" s="26">
        <f>F23</f>
        <v>76</v>
      </c>
      <c r="D32" s="26" t="s">
        <v>40</v>
      </c>
      <c r="E32" s="26"/>
    </row>
    <row r="33" spans="2:8" x14ac:dyDescent="0.25">
      <c r="B33" s="44" t="s">
        <v>41</v>
      </c>
      <c r="C33" s="26" t="str">
        <f>+E2</f>
        <v>30'S</v>
      </c>
      <c r="D33" s="26" t="str">
        <f>+E3</f>
        <v>30'S</v>
      </c>
      <c r="E33" s="26" t="str">
        <f>+E4</f>
        <v>10'S</v>
      </c>
    </row>
    <row r="34" spans="2:8" x14ac:dyDescent="0.25">
      <c r="B34" s="44" t="s">
        <v>42</v>
      </c>
      <c r="C34" s="30">
        <f>1000/(C31*C32*0.0254)/0.914</f>
        <v>1.7174834289641849</v>
      </c>
      <c r="D34" s="45" t="s">
        <v>43</v>
      </c>
      <c r="E34" s="30">
        <f>1000/(C31*C32*0.0254)</f>
        <v>1.569779854073265</v>
      </c>
      <c r="G34" t="s">
        <v>4</v>
      </c>
    </row>
    <row r="35" spans="2:8" x14ac:dyDescent="0.25">
      <c r="B35" s="46" t="s">
        <v>44</v>
      </c>
      <c r="C35" s="31" t="s">
        <v>45</v>
      </c>
      <c r="D35" s="32"/>
      <c r="E35" s="33"/>
      <c r="G35" s="6"/>
    </row>
    <row r="36" spans="2:8" x14ac:dyDescent="0.25">
      <c r="B36" s="47" t="s">
        <v>46</v>
      </c>
      <c r="C36" s="35">
        <f>+F21</f>
        <v>525</v>
      </c>
      <c r="D36" s="36">
        <f>+C36/B6</f>
        <v>7.5</v>
      </c>
      <c r="E36" s="36" t="s">
        <v>4</v>
      </c>
    </row>
    <row r="37" spans="2:8" x14ac:dyDescent="0.25">
      <c r="B37" s="47" t="s">
        <v>47</v>
      </c>
      <c r="C37" s="37">
        <f>+C36/C34</f>
        <v>305.67980519999998</v>
      </c>
      <c r="D37" s="38">
        <f>+C37/B6</f>
        <v>4.3668543599999996</v>
      </c>
      <c r="E37" s="39"/>
      <c r="G37" s="29"/>
      <c r="H37" s="29"/>
    </row>
    <row r="38" spans="2:8" x14ac:dyDescent="0.25">
      <c r="B38" s="47" t="s">
        <v>48</v>
      </c>
      <c r="C38" s="40" t="str">
        <f>+C23</f>
        <v>20 Days</v>
      </c>
      <c r="D38" s="41" t="s">
        <v>26</v>
      </c>
      <c r="E38" s="40" t="str">
        <f>+C22</f>
        <v>300 Kgs</v>
      </c>
    </row>
    <row r="39" spans="2:8" x14ac:dyDescent="0.25">
      <c r="B39" s="34" t="s">
        <v>49</v>
      </c>
      <c r="C39" s="35">
        <f>+L21</f>
        <v>640</v>
      </c>
      <c r="D39" s="36">
        <f>+C39/B6</f>
        <v>9.1428571428571423</v>
      </c>
      <c r="E39" s="36" t="s">
        <v>4</v>
      </c>
    </row>
    <row r="40" spans="2:8" x14ac:dyDescent="0.25">
      <c r="B40" s="34" t="s">
        <v>50</v>
      </c>
      <c r="C40" s="42">
        <f>+C39/C34</f>
        <v>372.63823871999995</v>
      </c>
      <c r="D40" s="36">
        <f>+C40/B6</f>
        <v>5.3234034102857137</v>
      </c>
      <c r="E40" s="26"/>
    </row>
    <row r="41" spans="2:8" x14ac:dyDescent="0.25">
      <c r="B41" s="47" t="s">
        <v>51</v>
      </c>
      <c r="C41" s="26" t="str">
        <f>+I23</f>
        <v>25 Days</v>
      </c>
      <c r="D41" s="41" t="s">
        <v>26</v>
      </c>
      <c r="E41" s="40" t="str">
        <f>+I22</f>
        <v>300 Kgs</v>
      </c>
      <c r="G41" s="6"/>
    </row>
    <row r="42" spans="2:8" x14ac:dyDescent="0.25">
      <c r="B42" s="34" t="s">
        <v>52</v>
      </c>
      <c r="C42" s="35">
        <f>+R21</f>
        <v>995</v>
      </c>
      <c r="D42" s="36">
        <f>+C42/B6</f>
        <v>14.214285714285714</v>
      </c>
      <c r="E42" s="36" t="s">
        <v>4</v>
      </c>
    </row>
    <row r="43" spans="2:8" x14ac:dyDescent="0.25">
      <c r="B43" s="34" t="s">
        <v>53</v>
      </c>
      <c r="C43" s="42">
        <f>+C42/C34</f>
        <v>579.33601175999991</v>
      </c>
      <c r="D43" s="36">
        <f>+C43/B6</f>
        <v>8.2762287394285696</v>
      </c>
      <c r="E43" s="26"/>
      <c r="G43" s="29"/>
      <c r="H43" s="29"/>
    </row>
    <row r="44" spans="2:8" x14ac:dyDescent="0.25">
      <c r="B44" s="47" t="s">
        <v>54</v>
      </c>
      <c r="C44" s="26" t="str">
        <f>+O23</f>
        <v>35 Days</v>
      </c>
      <c r="D44" s="41" t="s">
        <v>26</v>
      </c>
      <c r="E44" s="40" t="str">
        <f>+O22</f>
        <v>500 Kgs</v>
      </c>
    </row>
    <row r="45" spans="2:8" x14ac:dyDescent="0.25">
      <c r="B45" s="34" t="s">
        <v>55</v>
      </c>
      <c r="C45" s="43">
        <f>+X21</f>
        <v>795</v>
      </c>
      <c r="D45" s="36">
        <f>+C45/B6</f>
        <v>11.357142857142858</v>
      </c>
      <c r="E45" s="26"/>
    </row>
    <row r="46" spans="2:8" x14ac:dyDescent="0.25">
      <c r="B46" s="34" t="s">
        <v>56</v>
      </c>
      <c r="C46" s="43">
        <f>+C45/C34</f>
        <v>462.88656215999993</v>
      </c>
      <c r="D46" s="36">
        <f>+C46/B6</f>
        <v>6.6126651737142845</v>
      </c>
      <c r="E46" s="26"/>
    </row>
    <row r="47" spans="2:8" x14ac:dyDescent="0.25">
      <c r="B47" s="47" t="s">
        <v>30</v>
      </c>
      <c r="C47" s="26" t="str">
        <f>+U23</f>
        <v>45 Days</v>
      </c>
      <c r="D47" s="34" t="s">
        <v>26</v>
      </c>
      <c r="E47" s="40" t="str">
        <f>+U22</f>
        <v>500 Kgs</v>
      </c>
    </row>
    <row r="48" spans="2:8" x14ac:dyDescent="0.25">
      <c r="B48" s="34" t="s">
        <v>57</v>
      </c>
      <c r="C48" s="43">
        <f>+AD21</f>
        <v>1050</v>
      </c>
      <c r="D48" s="36">
        <f>+C48/B6</f>
        <v>15</v>
      </c>
      <c r="E48" s="26"/>
    </row>
    <row r="49" spans="2:5" x14ac:dyDescent="0.25">
      <c r="B49" s="34" t="s">
        <v>56</v>
      </c>
      <c r="C49" s="43">
        <f>+C48/C37</f>
        <v>3.4349668579283694</v>
      </c>
      <c r="D49" s="36">
        <f>+C49/B6</f>
        <v>4.907095511326242E-2</v>
      </c>
      <c r="E49" s="26"/>
    </row>
    <row r="50" spans="2:5" x14ac:dyDescent="0.25">
      <c r="B50" s="47" t="s">
        <v>30</v>
      </c>
      <c r="C50" s="26" t="str">
        <f>+AA23</f>
        <v>50 Days</v>
      </c>
      <c r="D50" s="34" t="s">
        <v>26</v>
      </c>
      <c r="E50" s="40" t="str">
        <f>+AA22</f>
        <v>500 Kgs</v>
      </c>
    </row>
  </sheetData>
  <mergeCells count="5">
    <mergeCell ref="B1:D1"/>
    <mergeCell ref="D27:E27"/>
    <mergeCell ref="D28:E28"/>
    <mergeCell ref="C29:E29"/>
    <mergeCell ref="C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sanyakalra07@gmail.com</dc:creator>
  <cp:lastModifiedBy>devesh goswami</cp:lastModifiedBy>
  <dcterms:created xsi:type="dcterms:W3CDTF">2022-04-28T13:09:45Z</dcterms:created>
  <dcterms:modified xsi:type="dcterms:W3CDTF">2022-05-27T10:23:15Z</dcterms:modified>
</cp:coreProperties>
</file>